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uke.tanaka/Desktop/development/git/qiita-data-viewer/ecuacion-tool-code-generator-excel-format/"/>
    </mc:Choice>
  </mc:AlternateContent>
  <xr:revisionPtr revIDLastSave="0" documentId="13_ncr:1_{E4819D8E-9B4E-5341-B518-3A7E53E72571}" xr6:coauthVersionLast="47" xr6:coauthVersionMax="47" xr10:uidLastSave="{00000000-0000-0000-0000-000000000000}"/>
  <bookViews>
    <workbookView xWindow="-100" yWindow="6320" windowWidth="28800" windowHeight="11700" tabRatio="853" activeTab="7" xr2:uid="{00000000-000D-0000-FFFF-FFFF00000000}"/>
  </bookViews>
  <sheets>
    <sheet name="dataType Dropdown Items" sheetId="1" state="hidden" r:id="rId1"/>
    <sheet name="dataType Data Pattern List" sheetId="2" state="hidden" r:id="rId2"/>
    <sheet name="FK Types" sheetId="3" state="hidden" r:id="rId3"/>
    <sheet name="Format Change History" sheetId="4" r:id="rId4"/>
    <sheet name="General Settings" sheetId="5" r:id="rId5"/>
    <sheet name="dataType Definition" sheetId="6" r:id="rId6"/>
    <sheet name="Enum Definition" sheetId="7" r:id="rId7"/>
    <sheet name="DB Item Definition" sheetId="8" r:id="rId8"/>
    <sheet name="DB Common Item Definition" sheetId="9" r:id="rId9"/>
    <sheet name="Table List" sheetId="10" r:id="rId10"/>
  </sheets>
  <externalReferences>
    <externalReference r:id="rId11"/>
  </externalReferences>
  <definedNames>
    <definedName name="general">'dataType Dropdown Items'!$A$3:$A$18</definedName>
    <definedName name="_xlnm.Print_Area" localSheetId="7">'DB Item Definition'!$A$1:$AA$5</definedName>
    <definedName name="一般">[1]dataTypeプルダウン項目!$A$3:$A$16</definedName>
    <definedName name="固定フォーマット">[1]dataTypeプルダウン項目!#REF!</definedName>
    <definedName name="日時">[1]dataTypeプルダウン項目!#REF!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0" l="1" a="1"/>
  <c r="E3" i="10"/>
  <c r="D3" i="10"/>
  <c r="C3" i="10"/>
  <c r="B3" i="10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AL3" i="8"/>
  <c r="AK3" i="8"/>
  <c r="AJ3" i="8"/>
  <c r="AI3" i="8"/>
  <c r="I4" i="7"/>
  <c r="H4" i="7"/>
  <c r="G4" i="7"/>
  <c r="F4" i="7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S3" i="6"/>
  <c r="R3" i="6"/>
  <c r="Q3" i="6"/>
  <c r="P3" i="6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D13" i="9"/>
  <c r="D12" i="9"/>
  <c r="D11" i="9"/>
  <c r="D10" i="9"/>
  <c r="D9" i="9"/>
  <c r="D8" i="9"/>
  <c r="D7" i="9"/>
  <c r="D6" i="9"/>
  <c r="AL3" i="9"/>
  <c r="AK3" i="9"/>
  <c r="AJ3" i="9"/>
  <c r="AI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short、int、Long、float, double, BigInteger、BigDecimalの場合
※beanValidationの仕様としては、byte型も上記2つのannotationで使用可能だが、codegeneratorとしては除外している。必要なら追加</t>
        </r>
      </text>
    </comment>
    <comment ref="L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BigDecimalの場合のみ記載可。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<sst xmlns="http://schemas.openxmlformats.org/spreadsheetml/2006/main" count="1243" uniqueCount="564">
  <si>
    <t>DB Common Item Definition</t>
  </si>
  <si>
    <t>Default Language</t>
  </si>
  <si>
    <t>Additional Language 1</t>
  </si>
  <si>
    <t>Additional Language 2</t>
  </si>
  <si>
    <t>Additional Language 3</t>
  </si>
  <si>
    <t>Table Name</t>
  </si>
  <si>
    <t>Column Name</t>
  </si>
  <si>
    <t>dataType</t>
  </si>
  <si>
    <t>dataType Check</t>
  </si>
  <si>
    <t>Java Only</t>
  </si>
  <si>
    <t xml:space="preserve">Surrogate key </t>
  </si>
  <si>
    <t>natural key (unique key)</t>
  </si>
  <si>
    <t>nullable</t>
  </si>
  <si>
    <t>Auto Numbering</t>
  </si>
  <si>
    <t>Force Numbering</t>
  </si>
  <si>
    <t>Auto Update</t>
  </si>
  <si>
    <t>Force Update</t>
  </si>
  <si>
    <t>Group Identifier</t>
  </si>
  <si>
    <t>Spring Audit</t>
  </si>
  <si>
    <t>Relation: Type</t>
  </si>
  <si>
    <t>Relation: Direction</t>
  </si>
  <si>
    <t>Relation: Source Var Name</t>
  </si>
  <si>
    <t>Relation: Target Table</t>
  </si>
  <si>
    <t>Relation: Target Column</t>
  </si>
  <si>
    <t>Relation: Target Var Name</t>
  </si>
  <si>
    <t>Relation: Eager</t>
  </si>
  <si>
    <t>index1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</si>
  <si>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</si>
  <si>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</si>
  <si>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</si>
  <si>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</si>
  <si>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</si>
  <si>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</si>
  <si>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</si>
  <si>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</si>
  <si>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index10</t>
  </si>
  <si>
    <t>Notes</t>
  </si>
  <si>
    <t>Column Display Name (Default Lang)</t>
  </si>
  <si>
    <t>Column Display Name (Additional Lang 1)</t>
  </si>
  <si>
    <t>Column Display Name (Additional Lang 2)</t>
  </si>
  <si>
    <t>Column Display Name (Additional Lang 3)</t>
  </si>
  <si>
    <t>CREATE_ACC_ID</t>
  </si>
  <si>
    <t>DT_SERIAL</t>
  </si>
  <si>
    <t>CB</t>
  </si>
  <si>
    <t>create account ID</t>
  </si>
  <si>
    <t>作成者ID</t>
  </si>
  <si>
    <t>CREATE_ACC_NAME</t>
  </si>
  <si>
    <t>DT_ACC_NAME</t>
  </si>
  <si>
    <t>○</t>
  </si>
  <si>
    <t>create account name</t>
  </si>
  <si>
    <t>作成者名</t>
  </si>
  <si>
    <t>CREATE_TIME</t>
  </si>
  <si>
    <t>DT_TIMESTAMP</t>
  </si>
  <si>
    <t>CD</t>
  </si>
  <si>
    <t>create time</t>
  </si>
  <si>
    <t>作成日時</t>
  </si>
  <si>
    <t>LST_UPD_ACC_ID</t>
  </si>
  <si>
    <t>LB</t>
  </si>
  <si>
    <t>last update account ID</t>
  </si>
  <si>
    <t>最終更新者ID</t>
  </si>
  <si>
    <t>LST_UPD_ACC_NAME</t>
  </si>
  <si>
    <t>last update account name</t>
  </si>
  <si>
    <t>最終更新者名</t>
  </si>
  <si>
    <t>LST_UPD_TIME</t>
  </si>
  <si>
    <t>LD</t>
  </si>
  <si>
    <t>last update time</t>
  </si>
  <si>
    <t>最終更新日時</t>
  </si>
  <si>
    <t>DEL_FLG</t>
  </si>
  <si>
    <t>DT_BOOL</t>
  </si>
  <si>
    <t>delete flag</t>
  </si>
  <si>
    <t>削除フラグ</t>
  </si>
  <si>
    <t>VERSION</t>
  </si>
  <si>
    <t>DT_DB_UPD_VER</t>
  </si>
  <si>
    <t>version</t>
  </si>
  <si>
    <t>DB 更新バージョン</t>
  </si>
  <si>
    <t>dataType Definition</t>
  </si>
  <si>
    <t>General</t>
  </si>
  <si>
    <t>Type</t>
  </si>
  <si>
    <t>FRAMEWORK_KIND</t>
  </si>
  <si>
    <t>All Characters</t>
  </si>
  <si>
    <t>STRING</t>
  </si>
  <si>
    <t>Spring Framework</t>
  </si>
  <si>
    <t>Full-width</t>
  </si>
  <si>
    <t>INTEGER</t>
  </si>
  <si>
    <t>Half-width</t>
  </si>
  <si>
    <t>SHORT</t>
  </si>
  <si>
    <t>Half-width Numeric</t>
  </si>
  <si>
    <t>LONG</t>
  </si>
  <si>
    <t>Uppercase</t>
  </si>
  <si>
    <t>FLOAT</t>
  </si>
  <si>
    <t>Uppercase + Underscore</t>
  </si>
  <si>
    <t>DOUBLE</t>
  </si>
  <si>
    <t>Lowercase</t>
  </si>
  <si>
    <t>BIG_INTEGER</t>
  </si>
  <si>
    <t>Lowercase + Underscore</t>
  </si>
  <si>
    <t>BIG_DECIMAL</t>
  </si>
  <si>
    <t>Numeric + Uppercase</t>
  </si>
  <si>
    <t>YEAR_MONTH</t>
  </si>
  <si>
    <t>Numeric + Uppercase + Underscore</t>
  </si>
  <si>
    <t>DATE</t>
  </si>
  <si>
    <t>Numeric + Lowercase</t>
  </si>
  <si>
    <t>TIME</t>
  </si>
  <si>
    <t>Numeric + Lowercase + Underscore</t>
  </si>
  <si>
    <t>DATE_TIME</t>
  </si>
  <si>
    <t>Alphanumeric</t>
  </si>
  <si>
    <t>TIMESTAMP</t>
  </si>
  <si>
    <t>Alphanumeric + Underscore</t>
  </si>
  <si>
    <t>ENUM</t>
  </si>
  <si>
    <t>BOOLEAN</t>
  </si>
  <si>
    <t>※"jakarta EE" assumued but not ready</t>
  </si>
  <si>
    <t>Data Pattern</t>
  </si>
  <si>
    <t>enumValue</t>
  </si>
  <si>
    <t>REG_EX_ALL</t>
  </si>
  <si>
    <t>REG_EX_HAN</t>
  </si>
  <si>
    <t>REG_EX_HAN_NUM</t>
  </si>
  <si>
    <t>REG_EX_HAN_UC</t>
  </si>
  <si>
    <t>REG_EX_HAN_UC_US</t>
  </si>
  <si>
    <t>REG_EX_HAN_LC</t>
  </si>
  <si>
    <t>REG_EX_HAN_LC_US</t>
  </si>
  <si>
    <t>REG_EX_HAN_NUM_UC</t>
  </si>
  <si>
    <t>REG_EX_HAN_NUM_UC_US</t>
  </si>
  <si>
    <t>REG_EX_HAN_NUM_LC</t>
  </si>
  <si>
    <t>REG_EX_HAN_NUM_LC_US</t>
  </si>
  <si>
    <t>REG_EX_HAN_NUM_UC_LC</t>
  </si>
  <si>
    <t>REG_EX_HAN_NUM_UC_LC_US</t>
  </si>
  <si>
    <t>REG_EX_ZEN</t>
  </si>
  <si>
    <t>FK Type (Japanese)</t>
  </si>
  <si>
    <t>FK Type</t>
  </si>
  <si>
    <t>Direction</t>
  </si>
  <si>
    <t>Source 1 - Target 1 (unidirectional)</t>
  </si>
  <si>
    <t>OneToOne</t>
  </si>
  <si>
    <t>unidirectional</t>
  </si>
  <si>
    <t>Source 1 - Target 1 (bidirectional)</t>
  </si>
  <si>
    <t>bidirectional</t>
  </si>
  <si>
    <t>Source N - Target 1 (unidirectional)</t>
  </si>
  <si>
    <t>ManyToOne</t>
  </si>
  <si>
    <t>* The following are not supported by the framework due to performance concerns</t>
  </si>
  <si>
    <t>Source 1 - Target N (unidirectional)</t>
  </si>
  <si>
    <t>Source N - Target 1 / Source 1 - Target N (bidirectional)</t>
  </si>
  <si>
    <t>Source M - Target N (unidirectional)</t>
  </si>
  <si>
    <t>Source M - Target N (bidirectional)</t>
  </si>
  <si>
    <t>Format Change History</t>
  </si>
  <si>
    <t>Date</t>
  </si>
  <si>
    <t>Version</t>
  </si>
  <si>
    <t>Changes</t>
  </si>
  <si>
    <t>Changed By</t>
  </si>
  <si>
    <t>v5.0.0</t>
  </si>
  <si>
    <t>■Version Information
- Supported code-generator version: 15.0.0-beta.4 or later
■Change Description
- Added English version of the Excel template</t>
  </si>
  <si>
    <t>Y.Tanaka</t>
  </si>
  <si>
    <t>General Settings</t>
  </si>
  <si>
    <t>* Fill in the "Value" and "Notes" columns only. Do not modify other columns. "Notes" is optional (no system impact).</t>
  </si>
  <si>
    <t>#</t>
  </si>
  <si>
    <t>Category</t>
  </si>
  <si>
    <t>Category Name</t>
  </si>
  <si>
    <t>Key</t>
  </si>
  <si>
    <t>Description</t>
  </si>
  <si>
    <t>Required</t>
  </si>
  <si>
    <t>Value</t>
  </si>
  <si>
    <t>SYSTEM_COMMON</t>
  </si>
  <si>
    <t>System Common</t>
  </si>
  <si>
    <t>TEMPLATE_VERSION</t>
  </si>
  <si>
    <t>Template version of this Excel file</t>
  </si>
  <si>
    <t>◯</t>
  </si>
  <si>
    <t>5.0.0</t>
  </si>
  <si>
    <t>SYSTEM_NAME</t>
  </si>
  <si>
    <t>System name
* Used as the parent folder name for auto-generated source files</t>
  </si>
  <si>
    <t>qiita-data-viewer</t>
  </si>
  <si>
    <t>BASE_PACKAGE</t>
  </si>
  <si>
    <t>Common part of the package name</t>
  </si>
  <si>
    <t>jp.ecuacion.app.qiitadataviewer</t>
  </si>
  <si>
    <t>Framework type
* Generated code differs depending on the specified type</t>
  </si>
  <si>
    <t>CHARSET</t>
  </si>
  <si>
    <t>Source code character encoding ("UTF-8" recommended)</t>
  </si>
  <si>
    <t>UTF-8</t>
  </si>
  <si>
    <t>LANG_DEFAULT</t>
  </si>
  <si>
    <t>Default language
* Specify a locale string such as "en". "en_US" etc. are also supported.</t>
  </si>
  <si>
    <t>en</t>
  </si>
  <si>
    <t>LANG_SUPPORT_01</t>
  </si>
  <si>
    <t>Support language 1
* Enter support languages in order 1, 2, 3. Having 1 empty while 2 is filled will cause an error.</t>
  </si>
  <si>
    <t>ja</t>
  </si>
  <si>
    <t>LANG_SUPPORT_02</t>
  </si>
  <si>
    <t>Support language 2</t>
  </si>
  <si>
    <t>LANG_SUPPORT_03</t>
  </si>
  <si>
    <t>Support language 3</t>
  </si>
  <si>
    <t>PROHIBITED_CHARS</t>
  </si>
  <si>
    <t>Prohibited characters</t>
  </si>
  <si>
    <t>!"#$%&amp;()=^~\|`[{;+:*]},&lt;&gt;/?</t>
  </si>
  <si>
    <t>PROHIBITED_CHARS_DESC_LANG_DEFAULT</t>
  </si>
  <si>
    <t>Prohibited chars pattern description (default language)
* Required when "Prohibited characters" is not empty.</t>
  </si>
  <si>
    <t>PROHIBITED_CHARS_DESC_LANG_SUPPORT_01</t>
  </si>
  <si>
    <t>Prohibited chars pattern description (additional language 1)
* Required when "Prohibited characters" and "Support language 1" are both not empty.</t>
  </si>
  <si>
    <t>以下の記号以外：!"#$%&amp;()=^~\|`[{;+:*]},&lt;&gt;/?</t>
  </si>
  <si>
    <t>PROHIBITED_CHARS_DESC_LANG_SUPPORT_02</t>
  </si>
  <si>
    <t>Prohibited chars pattern description (additional language 2)
* Required when "Prohibited characters" and "Support language 2" are both not empty.</t>
  </si>
  <si>
    <t>PROHIBITED_CHARS_DESC_LANG_SUPPORT_03</t>
  </si>
  <si>
    <t>Prohibited chars pattern description (additional language 3)
* Required when "Prohibited characters" and "Support language 3" are both not empty.</t>
  </si>
  <si>
    <t>LOGICAL_DELETE</t>
  </si>
  <si>
    <t>Logical Delete</t>
  </si>
  <si>
    <t>COLUMN_NAME</t>
  </si>
  <si>
    <t>Column name for logical delete flag
* Leave blank if not using logical delete (leave all subsequent "Logical Delete" entries blank too).
* Any column with this name is treated as a logical-delete column; rename it if used for other purposes.
* To use logical delete, define this column in "DB Item Definition" or "DB Common Item Definition".</t>
  </si>
  <si>
    <t>DATA_TYPE_NAME</t>
  </si>
  <si>
    <t>DataType Name
* Only BOOLEAN type DataTypes are supported in this version.</t>
  </si>
  <si>
    <t>DEFAULT_VALUE</t>
  </si>
  <si>
    <t>Initial value (before logical delete)
* Specify true/false for BOOLEAN type DataType.</t>
  </si>
  <si>
    <t>false</t>
  </si>
  <si>
    <t>UPDATE_VALUE</t>
  </si>
  <si>
    <t>Update value (after logical delete)
* See "DEFAULT_VALUE" for notation.</t>
  </si>
  <si>
    <t>true</t>
  </si>
  <si>
    <t>GROUPING</t>
  </si>
  <si>
    <t>Group Access Restriction Settings</t>
  </si>
  <si>
    <t>Column name for group restriction
* Leave blank if not using group restriction (leave all subsequent entries blank too).
* Any column with this name is treated as a group column; rename it if used for other purposes.
* To use this feature, define this column in "DB Item Definition" or "DB Common Item Definition".
* A separate column can be designated as the group identifier via the "Group Identifier" checkbox.</t>
  </si>
  <si>
    <t>ACC_ID</t>
  </si>
  <si>
    <t>DataType Name</t>
  </si>
  <si>
    <t>TABLE_NAMES_WITHOUT_GROUPING</t>
  </si>
  <si>
    <t>Explicitly list tables without group settings to prevent accidental omissions.
* Specify multiple tables in CSV format: "TABLE_1,TABLE_2".</t>
  </si>
  <si>
    <t>AGREEMENT</t>
  </si>
  <si>
    <t>OPTIMISTIC_LOCKING</t>
  </si>
  <si>
    <t>Optimistic Locking</t>
  </si>
  <si>
    <t>Column name for optimistic locking
* Leave blank if not using optimistic locking (leave all subsequent entries blank too).
* Any column with this name is treated as an optimistic lock column; rename it if used for other purposes.</t>
  </si>
  <si>
    <t>* DataType name prefix is fixed as "DT_"</t>
  </si>
  <si>
    <t>Common</t>
  </si>
  <si>
    <t>Input Fields for STRING</t>
  </si>
  <si>
    <t>Input Fields for Numeric Types</t>
  </si>
  <si>
    <t>For
Enum</t>
  </si>
  <si>
    <t>For
Date/Time</t>
  </si>
  <si>
    <t>Optional</t>
  </si>
  <si>
    <t>Min Length</t>
  </si>
  <si>
    <t>Max Length</t>
  </si>
  <si>
    <t>Data Pattern (display name)</t>
  </si>
  <si>
    <t>Exclude Prohibited Chars Check</t>
  </si>
  <si>
    <t>Regex</t>
  </si>
  <si>
    <t>Min Value</t>
  </si>
  <si>
    <t>Max Value</t>
  </si>
  <si>
    <t>Integer Digits</t>
  </si>
  <si>
    <t>Decimal Digits</t>
  </si>
  <si>
    <t>Code Length</t>
  </si>
  <si>
    <t>No Timezone</t>
  </si>
  <si>
    <t>Pattern Desc (Default Lang)</t>
  </si>
  <si>
    <t>Pattern Desc (Additional Lang 1)</t>
  </si>
  <si>
    <t>Pattern Desc (Additional Lang 2)</t>
  </si>
  <si>
    <t>Pattern Desc (Additional Lang 3)</t>
  </si>
  <si>
    <t>DT_CODE</t>
  </si>
  <si>
    <t>1</t>
  </si>
  <si>
    <t>100</t>
  </si>
  <si>
    <t>DT_MAIL_ADDRESS</t>
  </si>
  <si>
    <t>256</t>
  </si>
  <si>
    <t>^[a-zA-Z0-9_\-\+\.]*@[a-zA-Z0-9_\-\.]*$</t>
  </si>
  <si>
    <t>mail address format</t>
  </si>
  <si>
    <t>メールアドレス形式</t>
  </si>
  <si>
    <t>30</t>
  </si>
  <si>
    <t>^[^'$%&amp;\(\)=\^~,&lt;&gt;/\?]*$</t>
  </si>
  <si>
    <t>except the following symbols: '$%&amp;()=^~,&lt;&gt;/?</t>
  </si>
  <si>
    <t>一部記号（'$%&amp;()=^~,&lt;&gt;/?）以外</t>
  </si>
  <si>
    <t>DT_HASHED_PASSWORD</t>
  </si>
  <si>
    <t>60</t>
  </si>
  <si>
    <t>DT_CLOUD_NAME</t>
  </si>
  <si>
    <t>50</t>
  </si>
  <si>
    <t>DT_CLOUD_SERVICE_KIND</t>
  </si>
  <si>
    <t>DT_CLOUD_SERVICE_SETTINGS_STRING</t>
  </si>
  <si>
    <t>0</t>
  </si>
  <si>
    <t>DT_SERVER_ID_IN_CLOUD_SERVICE</t>
  </si>
  <si>
    <t>DT_DOMAIN</t>
  </si>
  <si>
    <t>DT_AWS_HOSTED_ZONE_ID</t>
  </si>
  <si>
    <t>20</t>
  </si>
  <si>
    <t>21</t>
  </si>
  <si>
    <t>DT_INSTANCE_NAME</t>
  </si>
  <si>
    <t>DT_APP_NAME</t>
  </si>
  <si>
    <t>DT_WEB_PROTOCOL</t>
  </si>
  <si>
    <t>DT_URL</t>
  </si>
  <si>
    <t>^[a-zA-Z0-9 _@/=\-\.\?\&amp;]*$</t>
  </si>
  <si>
    <t>半角英数と一部記号（(半角空白)_@/=.?&amp;）</t>
  </si>
  <si>
    <t>DT_IP_ADDRESS</t>
  </si>
  <si>
    <t>7</t>
  </si>
  <si>
    <t>15</t>
  </si>
  <si>
    <t>DT_MINUTES</t>
  </si>
  <si>
    <t>DT_ACC_ROLE</t>
  </si>
  <si>
    <t>DT_REMOTE_SERVER_KIND</t>
  </si>
  <si>
    <t>DT_PORT</t>
  </si>
  <si>
    <t>DT_FW_NAME</t>
  </si>
  <si>
    <t>^[a-zA-Z0-9 _@/\-\.]*$</t>
  </si>
  <si>
    <t>半角英数と一部記号（(半角空白)_@/-.）</t>
  </si>
  <si>
    <t>DT_REGION</t>
  </si>
  <si>
    <t>^[a-zA-Z0-9\-]*$</t>
  </si>
  <si>
    <t>alphanumeric characters and '-'</t>
  </si>
  <si>
    <t>半角英数と「-」</t>
  </si>
  <si>
    <t>2</t>
  </si>
  <si>
    <t>DT_DESC</t>
  </si>
  <si>
    <t>DT_MAIL_AUTH_KIND</t>
  </si>
  <si>
    <t>DT_INTERVAL_TIME</t>
  </si>
  <si>
    <t>3</t>
  </si>
  <si>
    <t>1440</t>
  </si>
  <si>
    <t>DT_QIITA_ITEM_ID</t>
  </si>
  <si>
    <t>DT_QIITA_USER_ID</t>
  </si>
  <si>
    <t>DT_QIITA_TITLE</t>
  </si>
  <si>
    <t>255</t>
  </si>
  <si>
    <t>DT_COUNT</t>
  </si>
  <si>
    <t>DT_LONG_TEXT</t>
  </si>
  <si>
    <t>65535</t>
  </si>
  <si>
    <t>DT_QIITA_TAG_NAME</t>
  </si>
  <si>
    <t>DT_LONG_URL</t>
  </si>
  <si>
    <t>500</t>
  </si>
  <si>
    <t>^[^'$%&amp;\(\)\^~,&lt;&gt;\?]*$</t>
  </si>
  <si>
    <t>DT_QIITA_VERSION</t>
  </si>
  <si>
    <t>Enum Definition</t>
  </si>
  <si>
    <t>* Enum class names are auto-generated from the DataType name.</t>
  </si>
  <si>
    <t xml:space="preserve">    Ex: DT_TRANSACTION_STATUS → Enum class name: TransactionStatusEnum</t>
  </si>
  <si>
    <t>code</t>
  </si>
  <si>
    <t>varName</t>
  </si>
  <si>
    <t>Display Name (Default Lang)</t>
  </si>
  <si>
    <t>Display Name (Additional Lang 1)</t>
  </si>
  <si>
    <t>Display Name (Additional Lang 2)</t>
  </si>
  <si>
    <t>Display Name (Additional Lang 3)</t>
  </si>
  <si>
    <t>ACC_USER</t>
  </si>
  <si>
    <t>user</t>
  </si>
  <si>
    <t>ユーザ</t>
  </si>
  <si>
    <t>ACCOUNT_FULL_ACCESS</t>
  </si>
  <si>
    <t>group admin</t>
  </si>
  <si>
    <t>グループ管理者</t>
  </si>
  <si>
    <t>9</t>
  </si>
  <si>
    <t>ADMIN_FULL_ACCESS</t>
  </si>
  <si>
    <t xml:space="preserve">system admin </t>
  </si>
  <si>
    <t>システム管理者</t>
  </si>
  <si>
    <t>HTTP</t>
  </si>
  <si>
    <t>http</t>
  </si>
  <si>
    <t>HTTPS</t>
  </si>
  <si>
    <t>https</t>
  </si>
  <si>
    <t>01</t>
  </si>
  <si>
    <t>AWS</t>
  </si>
  <si>
    <t>11</t>
  </si>
  <si>
    <t>WEB_ARENA_INDIGO</t>
  </si>
  <si>
    <t>WebARENA Indigo</t>
  </si>
  <si>
    <t>SAKURA_CLOUD</t>
  </si>
  <si>
    <t>sakura cloud</t>
  </si>
  <si>
    <t>さくらのクラウド</t>
  </si>
  <si>
    <t>HTTP_PROXY</t>
  </si>
  <si>
    <t>HTTP Proxy</t>
  </si>
  <si>
    <t>MONITORING</t>
  </si>
  <si>
    <t>サーバ監視</t>
  </si>
  <si>
    <t>ACC_NEW</t>
  </si>
  <si>
    <t>new account</t>
  </si>
  <si>
    <t>新規アカウント</t>
  </si>
  <si>
    <t>02</t>
  </si>
  <si>
    <t>ACC_PASSWORD_RESET</t>
  </si>
  <si>
    <t>password reset</t>
  </si>
  <si>
    <t>パスワードリセット</t>
  </si>
  <si>
    <t>03</t>
  </si>
  <si>
    <t>ACC_MAIL_ADDRESS_CHANGED</t>
  </si>
  <si>
    <t>mail address changed</t>
  </si>
  <si>
    <t>メールアドレス変更</t>
  </si>
  <si>
    <t>DB Item Definition</t>
  </si>
  <si>
    <t>ACC</t>
  </si>
  <si>
    <t>ID</t>
  </si>
  <si>
    <t>MAIL_ADDRESS</t>
  </si>
  <si>
    <t>mail address</t>
  </si>
  <si>
    <t>メールアドレス</t>
  </si>
  <si>
    <t>NAME</t>
  </si>
  <si>
    <t>name</t>
  </si>
  <si>
    <t>アカウント名</t>
  </si>
  <si>
    <t>IS_ADMIN</t>
  </si>
  <si>
    <t>is system administrator</t>
  </si>
  <si>
    <t>ROLE</t>
  </si>
  <si>
    <t>role</t>
  </si>
  <si>
    <t>ロール</t>
  </si>
  <si>
    <t>HASHED_PASSWORD</t>
  </si>
  <si>
    <t>hashed password</t>
  </si>
  <si>
    <t>暗号化済みパスワード</t>
  </si>
  <si>
    <t>IS_VALID</t>
  </si>
  <si>
    <t>valid</t>
  </si>
  <si>
    <t>有効</t>
  </si>
  <si>
    <t>IS_AUTHENTICATED</t>
  </si>
  <si>
    <t>authenticated</t>
  </si>
  <si>
    <t>メール認証</t>
  </si>
  <si>
    <t>HAS_LOGGED_IN</t>
  </si>
  <si>
    <t>has logged in</t>
  </si>
  <si>
    <t>ログイン実績あり</t>
  </si>
  <si>
    <t>ACC_ADMIN</t>
  </si>
  <si>
    <t>@OneToOne</t>
  </si>
  <si>
    <t>acc</t>
  </si>
  <si>
    <t>accAdmin</t>
  </si>
  <si>
    <t>account ID</t>
  </si>
  <si>
    <t>アカウントID</t>
  </si>
  <si>
    <t>ACC_GENERAL</t>
  </si>
  <si>
    <t>accGeneral</t>
  </si>
  <si>
    <t>ACCESSIBLE_TO_ALL_APPS</t>
  </si>
  <si>
    <t>accessible to all apps</t>
  </si>
  <si>
    <t>全サーバ・appアクセス可</t>
  </si>
  <si>
    <t>UPLOADED_DATETIME</t>
  </si>
  <si>
    <t>uploaded datetime</t>
  </si>
  <si>
    <t>アップロード日時</t>
  </si>
  <si>
    <t>ACC_AGREEMENT</t>
  </si>
  <si>
    <t>AGREEMENT_ID</t>
  </si>
  <si>
    <t>agreement version</t>
  </si>
  <si>
    <t>利用規約バージョン</t>
  </si>
  <si>
    <t>MAIL_AUTH_MANAGEMENT</t>
  </si>
  <si>
    <t>AUTH_KIND</t>
  </si>
  <si>
    <t>authentication kind</t>
  </si>
  <si>
    <t>認証種別</t>
  </si>
  <si>
    <t>AUTH_CODE</t>
  </si>
  <si>
    <t>authentication code</t>
  </si>
  <si>
    <t>認証コード</t>
  </si>
  <si>
    <t>HAS_USED</t>
  </si>
  <si>
    <t>used</t>
  </si>
  <si>
    <t>使用済み</t>
  </si>
  <si>
    <t>NEW_MAIL_ADDRESS</t>
  </si>
  <si>
    <t>new mail address</t>
  </si>
  <si>
    <t>変更後メールアドレス</t>
  </si>
  <si>
    <t>NEW_PASSWORD</t>
  </si>
  <si>
    <t>new password</t>
  </si>
  <si>
    <t>変更後暗号化済みパスワード</t>
  </si>
  <si>
    <t>MAIL_SENT_DATETIME</t>
  </si>
  <si>
    <t>mail sent datetime</t>
  </si>
  <si>
    <t>メール送信日時</t>
  </si>
  <si>
    <t>QIITA_USER</t>
  </si>
  <si>
    <t>@ManyToOne</t>
  </si>
  <si>
    <t>USER_ID_IN_QIITA_WEBSITE</t>
  </si>
  <si>
    <t>Qiita user ID</t>
  </si>
  <si>
    <t>QiitaユーザーID</t>
  </si>
  <si>
    <t>PERMANENT_ID</t>
  </si>
  <si>
    <t>permanent ID</t>
  </si>
  <si>
    <t>表示名</t>
  </si>
  <si>
    <t>DESCRIPTION</t>
  </si>
  <si>
    <t>description</t>
  </si>
  <si>
    <t>自己紹介</t>
  </si>
  <si>
    <t>LOCATION</t>
  </si>
  <si>
    <t>location</t>
  </si>
  <si>
    <t>居住地</t>
  </si>
  <si>
    <t>ORGANIZATION</t>
  </si>
  <si>
    <t>organization</t>
  </si>
  <si>
    <t>所属</t>
  </si>
  <si>
    <t>FOLLOWEES_COUNT</t>
  </si>
  <si>
    <t>followees count</t>
  </si>
  <si>
    <t>フォロイー数</t>
  </si>
  <si>
    <t>FOLLOWERS_COUNT</t>
  </si>
  <si>
    <t>followers count</t>
  </si>
  <si>
    <t>フォロワー数</t>
  </si>
  <si>
    <t>ITEMS_COUNT</t>
  </si>
  <si>
    <t>items count</t>
  </si>
  <si>
    <t>投稿数</t>
  </si>
  <si>
    <t>PROFILE_IMAGE_URL</t>
  </si>
  <si>
    <t>profile image URL</t>
  </si>
  <si>
    <t>プロフィール画像URL</t>
  </si>
  <si>
    <t>WEBSITE_URL</t>
  </si>
  <si>
    <t>website URL</t>
  </si>
  <si>
    <t>ウェブサイトURL</t>
  </si>
  <si>
    <t>TWITTER_SCREEN_NAME</t>
  </si>
  <si>
    <t>Twitter screen name</t>
  </si>
  <si>
    <t>Twitterスクリーン名</t>
  </si>
  <si>
    <t>GITHUB_LOGIN_NAME</t>
  </si>
  <si>
    <t>GitHub login name</t>
  </si>
  <si>
    <t>GitHubログイン名</t>
  </si>
  <si>
    <t>FACEBOOK_ID</t>
  </si>
  <si>
    <t>Facebook ID</t>
  </si>
  <si>
    <t>FacebookID</t>
  </si>
  <si>
    <t>LINKEDIN_ID</t>
  </si>
  <si>
    <t>LinkedIn ID</t>
  </si>
  <si>
    <t>LinkedInID</t>
  </si>
  <si>
    <t>IS_TEAM_ONLY</t>
  </si>
  <si>
    <t>team only</t>
  </si>
  <si>
    <t>チーム専用</t>
  </si>
  <si>
    <t>QIITA_GROUP</t>
  </si>
  <si>
    <t>URL_NAME</t>
  </si>
  <si>
    <t>URL name</t>
  </si>
  <si>
    <t>グループURL名</t>
  </si>
  <si>
    <t>グループ名</t>
  </si>
  <si>
    <t>説明</t>
  </si>
  <si>
    <t>IS_PRIVATE</t>
  </si>
  <si>
    <t>private</t>
  </si>
  <si>
    <t>非公開</t>
  </si>
  <si>
    <t>CREATED_AT</t>
  </si>
  <si>
    <t>created at</t>
  </si>
  <si>
    <t>UPDATED_AT</t>
  </si>
  <si>
    <t>updated at</t>
  </si>
  <si>
    <t>更新日時</t>
  </si>
  <si>
    <t>QIITA_ITEM</t>
  </si>
  <si>
    <t>ITEM_ID_IN_QIITA_WEBSITE</t>
  </si>
  <si>
    <t xml:space="preserve">item ID in Qiita website </t>
  </si>
  <si>
    <t>Qiita記事ID</t>
  </si>
  <si>
    <t>COEDITING</t>
  </si>
  <si>
    <t>coediting</t>
  </si>
  <si>
    <t>共同編集</t>
  </si>
  <si>
    <t>COMMENTS_COUNT</t>
  </si>
  <si>
    <t>comments count</t>
  </si>
  <si>
    <t>コメント数</t>
  </si>
  <si>
    <t>QIITA_GROUP_ID</t>
  </si>
  <si>
    <t>qiitaGroup</t>
  </si>
  <si>
    <t>Qiita group ID</t>
  </si>
  <si>
    <t>QiitaグループID</t>
  </si>
  <si>
    <t>LIKES_COUNT</t>
  </si>
  <si>
    <t>likes count</t>
  </si>
  <si>
    <t>いいね数</t>
  </si>
  <si>
    <t>限定共有</t>
  </si>
  <si>
    <t>REACTIONS_COUNT</t>
  </si>
  <si>
    <t>reactions count</t>
  </si>
  <si>
    <t>リアクション数</t>
  </si>
  <si>
    <t>STOCKS_COUNT</t>
  </si>
  <si>
    <t>stocks count</t>
  </si>
  <si>
    <t>ストック数</t>
  </si>
  <si>
    <t>TITLE</t>
  </si>
  <si>
    <t>title</t>
  </si>
  <si>
    <t>タイトル</t>
  </si>
  <si>
    <t>URL</t>
  </si>
  <si>
    <t>記事URL</t>
  </si>
  <si>
    <t>QIITA_USER_ID</t>
  </si>
  <si>
    <t>qiitaUser</t>
  </si>
  <si>
    <t>PAGE_VIEWS_COUNT</t>
  </si>
  <si>
    <t>page views count</t>
  </si>
  <si>
    <t>PV数</t>
  </si>
  <si>
    <t>TEAM_MEMBERSHIP_NAME</t>
  </si>
  <si>
    <t>team membership name</t>
  </si>
  <si>
    <t>チームメンバーシップ名</t>
  </si>
  <si>
    <t>ORGANIZATION_URL_NAME</t>
  </si>
  <si>
    <t>organization URL name</t>
  </si>
  <si>
    <t>Organization URL名</t>
  </si>
  <si>
    <t>IS_SLIDE</t>
  </si>
  <si>
    <t>slide</t>
  </si>
  <si>
    <t>スライドモード</t>
  </si>
  <si>
    <t>QIITA_TAG</t>
  </si>
  <si>
    <t>タグ名</t>
  </si>
  <si>
    <t>QIITA_ITEM_TAG</t>
  </si>
  <si>
    <t>QIITA_ITEM_ID</t>
  </si>
  <si>
    <t>qiitaItem</t>
  </si>
  <si>
    <t>Qiita item ID</t>
  </si>
  <si>
    <t>QIITA_TAG_ID</t>
  </si>
  <si>
    <t>qiitaTag</t>
  </si>
  <si>
    <t>Qiita tag ID</t>
  </si>
  <si>
    <t>QiitaタグID</t>
  </si>
  <si>
    <t>QIITA_ITEM_TAG_VERSION</t>
  </si>
  <si>
    <t>QIITA_ITEM_TAG_ID</t>
  </si>
  <si>
    <t>qiitaItemTag</t>
  </si>
  <si>
    <t>Qiita item tag ID</t>
  </si>
  <si>
    <t>QiitaアイテムタグID</t>
  </si>
  <si>
    <t>VERSION_NAME</t>
  </si>
  <si>
    <t>version name</t>
  </si>
  <si>
    <t>バージョン名</t>
  </si>
  <si>
    <t>Table List</t>
  </si>
  <si>
    <t>Table Display Name (Default Lang)</t>
  </si>
  <si>
    <t>Table Display Name (Additional Lang 1)</t>
  </si>
  <si>
    <t>Table Display Name (Additional Lang 2)</t>
  </si>
  <si>
    <t>Table Display Name (Additional Lang 3)</t>
  </si>
  <si>
    <t>alphanumeric chars and symbols:  (space)_@/=.?&amp;</t>
  </si>
  <si>
    <t>alphanumeric chars and symbols: (space)_@/-.</t>
  </si>
  <si>
    <t>一部記号（'$%&amp;\(\)\^~,&lt;&gt;\?）以外</t>
  </si>
  <si>
    <t>account</t>
  </si>
  <si>
    <t>administrator account</t>
  </si>
  <si>
    <t>general account</t>
  </si>
  <si>
    <t>agreement</t>
  </si>
  <si>
    <t>account - agreement</t>
  </si>
  <si>
    <t>mail authentication manageement</t>
  </si>
  <si>
    <t>qiita user</t>
  </si>
  <si>
    <t>qiita group</t>
  </si>
  <si>
    <t>qiita item</t>
  </si>
  <si>
    <t>qiita tag</t>
  </si>
  <si>
    <t>qiita item tag</t>
  </si>
  <si>
    <t>qiita iitem tag version</t>
  </si>
  <si>
    <t>アカウント</t>
  </si>
  <si>
    <t>管理者アカウント</t>
  </si>
  <si>
    <t>一般アカウント</t>
  </si>
  <si>
    <t>利用規約</t>
  </si>
  <si>
    <t>アカウント・利用規約</t>
  </si>
  <si>
    <t>メール認証管理</t>
  </si>
  <si>
    <t>except symbols: ^[^'$%&amp;\(\)\^~,&lt;&gt;\?]*$</t>
  </si>
  <si>
    <t>except symbols: !"#$%&amp;()=^~\|`[{;+:*]},&lt;&gt;/?</t>
  </si>
  <si>
    <t>Relation: Source Var itemNameKeyClass</t>
  </si>
  <si>
    <t>Relation: Target Var itemNameKeyClass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</si>
</sst>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3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rgb="FF212121"/>
      <name val="Inherit"/>
      <family val="2"/>
    </font>
    <font>
      <sz val="12"/>
      <color rgb="FF333333"/>
      <name val="Verdana"/>
      <family val="2"/>
    </font>
    <font>
      <sz val="11"/>
      <color rgb="FF000000"/>
      <name val="Calibri"/>
      <family val="2"/>
      <charset val="128"/>
      <scheme val="minor"/>
    </font>
    <font>
      <sz val="11"/>
      <name val="Calibri"/>
      <family val="2"/>
      <scheme val="minor"/>
    </font>
    <font>
      <sz val="11"/>
      <name val="Calibri"/>
      <family val="2"/>
      <charset val="128"/>
      <scheme val="minor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2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 applyProtection="1">
      <alignment vertical="center"/>
      <protection locked="0"/>
    </xf>
    <xf numFmtId="49" fontId="3" fillId="0" borderId="0" xfId="0" applyNumberFormat="1" applyFont="1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0" borderId="0" xfId="0" applyNumberFormat="1" applyAlignment="1">
      <alignment vertical="center" wrapText="1"/>
    </xf>
    <xf numFmtId="49" fontId="0" fillId="4" borderId="0" xfId="0" applyNumberFormat="1" applyFill="1"/>
    <xf numFmtId="49" fontId="0" fillId="0" borderId="0" xfId="0" applyNumberFormat="1" applyAlignment="1" applyProtection="1">
      <alignment horizontal="left" vertical="center" wrapText="1"/>
      <protection locked="0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 applyProtection="1">
      <alignment vertical="center"/>
      <protection locked="0"/>
    </xf>
    <xf numFmtId="49" fontId="0" fillId="11" borderId="0" xfId="0" applyNumberFormat="1" applyFill="1" applyAlignment="1">
      <alignment horizontal="center" vertical="center" wrapText="1"/>
    </xf>
    <xf numFmtId="49" fontId="0" fillId="10" borderId="0" xfId="0" applyNumberFormat="1" applyFill="1" applyAlignment="1">
      <alignment horizontal="center"/>
    </xf>
    <xf numFmtId="0" fontId="0" fillId="0" borderId="4" xfId="0" applyBorder="1"/>
    <xf numFmtId="49" fontId="0" fillId="0" borderId="0" xfId="0" applyNumberFormat="1" applyAlignment="1">
      <alignment horizontal="left" vertical="center" wrapText="1"/>
    </xf>
    <xf numFmtId="49" fontId="7" fillId="0" borderId="0" xfId="0" applyNumberFormat="1" applyFont="1" applyProtection="1">
      <protection locked="0"/>
    </xf>
    <xf numFmtId="49" fontId="8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/>
    <xf numFmtId="4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5" xfId="0" applyBorder="1"/>
    <xf numFmtId="49" fontId="0" fillId="0" borderId="3" xfId="0" applyNumberFormat="1" applyBorder="1" applyAlignment="1">
      <alignment horizontal="center" vertical="center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49" fontId="0" fillId="13" borderId="0" xfId="0" applyNumberFormat="1" applyFill="1" applyAlignment="1">
      <alignment horizontal="center"/>
    </xf>
    <xf numFmtId="49" fontId="0" fillId="12" borderId="0" xfId="0" applyNumberFormat="1" applyFill="1" applyAlignment="1">
      <alignment horizontal="center" vertical="center" wrapText="1"/>
    </xf>
    <xf numFmtId="49" fontId="6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49" fontId="0" fillId="0" borderId="0" xfId="0" applyNumberForma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0" fillId="0" borderId="6" xfId="0" applyNumberFormat="1" applyBorder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14" fillId="0" borderId="0" xfId="0" applyNumberFormat="1" applyFont="1" applyAlignment="1" applyProtection="1">
      <alignment horizontal="left" vertical="center" wrapText="1"/>
      <protection locked="0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49" fontId="13" fillId="0" borderId="0" xfId="0" applyNumberFormat="1" applyFont="1" applyAlignment="1" applyProtection="1">
      <alignment vertical="center"/>
      <protection locked="0"/>
    </xf>
    <xf numFmtId="49" fontId="14" fillId="0" borderId="0" xfId="0" applyNumberFormat="1" applyFont="1" applyAlignment="1" applyProtection="1">
      <alignment vertical="center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49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ill="1" applyAlignment="1">
      <alignment horizontal="center" vertical="center" wrapText="1"/>
    </xf>
    <xf numFmtId="49" fontId="5" fillId="9" borderId="4" xfId="0" applyNumberFormat="1" applyFont="1" applyFill="1" applyBorder="1" applyAlignment="1">
      <alignment wrapText="1"/>
    </xf>
    <xf numFmtId="49" fontId="9" fillId="9" borderId="4" xfId="0" applyNumberFormat="1" applyFont="1" applyFill="1" applyBorder="1" applyAlignment="1">
      <alignment wrapText="1"/>
    </xf>
    <xf numFmtId="0" fontId="0" fillId="9" borderId="0" xfId="0" applyFill="1" applyAlignment="1" applyProtection="1">
      <alignment horizontal="center" vertical="center"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9" borderId="0" xfId="0" applyFill="1" applyAlignment="1">
      <alignment horizontal="center"/>
    </xf>
    <xf numFmtId="0" fontId="1" fillId="0" borderId="0" xfId="1" applyFont="1">
      <alignment vertical="center"/>
    </xf>
    <xf numFmtId="49" fontId="1" fillId="14" borderId="5" xfId="0" applyNumberFormat="1" applyFont="1" applyFill="1" applyBorder="1" applyAlignment="1">
      <alignment horizontal="left" vertical="center" wrapText="1"/>
    </xf>
    <xf numFmtId="49" fontId="0" fillId="14" borderId="3" xfId="0" applyNumberFormat="1" applyFill="1" applyBorder="1" applyAlignment="1">
      <alignment vertical="center"/>
    </xf>
    <xf numFmtId="49" fontId="1" fillId="14" borderId="3" xfId="0" applyNumberFormat="1" applyFont="1" applyFill="1" applyBorder="1" applyAlignment="1">
      <alignment horizontal="left" vertical="center"/>
    </xf>
    <xf numFmtId="49" fontId="0" fillId="14" borderId="3" xfId="0" applyNumberFormat="1" applyFill="1" applyBorder="1" applyAlignment="1">
      <alignment horizontal="center"/>
    </xf>
    <xf numFmtId="49" fontId="6" fillId="14" borderId="3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/>
    </xf>
    <xf numFmtId="49" fontId="1" fillId="14" borderId="3" xfId="0" applyNumberFormat="1" applyFont="1" applyFill="1" applyBorder="1" applyAlignment="1">
      <alignment horizontal="center" vertical="center"/>
    </xf>
    <xf numFmtId="49" fontId="1" fillId="14" borderId="3" xfId="0" applyNumberFormat="1" applyFont="1" applyFill="1" applyBorder="1" applyAlignment="1">
      <alignment horizontal="center" vertical="center" wrapText="1"/>
    </xf>
    <xf numFmtId="49" fontId="0" fillId="14" borderId="3" xfId="0" applyNumberForma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 wrapText="1"/>
    </xf>
    <xf numFmtId="49" fontId="0" fillId="0" borderId="3" xfId="0" applyNumberForma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0" fillId="0" borderId="3" xfId="0" applyNumberForma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0" fillId="14" borderId="3" xfId="0" applyNumberFormat="1" applyFill="1" applyBorder="1"/>
    <xf numFmtId="49" fontId="0" fillId="14" borderId="3" xfId="0" applyNumberFormat="1" applyFill="1" applyBorder="1" applyAlignment="1">
      <alignment horizontal="left" vertical="center"/>
    </xf>
    <xf numFmtId="49" fontId="6" fillId="14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6" fillId="0" borderId="3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6" fillId="14" borderId="3" xfId="0" applyNumberFormat="1" applyFont="1" applyFill="1" applyBorder="1" applyAlignment="1">
      <alignment horizontal="left" vertical="center"/>
    </xf>
    <xf numFmtId="49" fontId="8" fillId="9" borderId="0" xfId="0" applyNumberFormat="1" applyFont="1" applyFill="1" applyAlignment="1" applyProtection="1">
      <alignment horizontal="center" vertical="center"/>
      <protection locked="0"/>
    </xf>
    <xf numFmtId="49" fontId="1" fillId="0" borderId="3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0" fillId="0" borderId="3" xfId="0" applyNumberFormat="1" applyBorder="1" applyAlignment="1">
      <alignment horizontal="left" vertical="center"/>
    </xf>
    <xf numFmtId="49" fontId="6" fillId="0" borderId="3" xfId="0" applyNumberFormat="1" applyFon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9" borderId="0" xfId="0" applyNumberFormat="1" applyFill="1" applyAlignment="1" applyProtection="1">
      <alignment horizontal="center" vertical="center" wrapText="1"/>
      <protection locked="0"/>
    </xf>
    <xf numFmtId="0" fontId="0" fillId="14" borderId="3" xfId="0" applyFill="1" applyBorder="1"/>
    <xf numFmtId="0" fontId="0" fillId="14" borderId="8" xfId="0" applyFill="1" applyBorder="1"/>
    <xf numFmtId="0" fontId="5" fillId="9" borderId="9" xfId="0" applyFont="1" applyFill="1" applyBorder="1"/>
    <xf numFmtId="0" fontId="5" fillId="15" borderId="7" xfId="0" applyFont="1" applyFill="1" applyBorder="1"/>
    <xf numFmtId="0" fontId="5" fillId="15" borderId="10" xfId="0" applyFont="1" applyFill="1" applyBorder="1"/>
    <xf numFmtId="0" fontId="0" fillId="14" borderId="9" xfId="0" applyFill="1" applyBorder="1"/>
    <xf numFmtId="0" fontId="0" fillId="14" borderId="7" xfId="0" applyFill="1" applyBorder="1"/>
    <xf numFmtId="0" fontId="0" fillId="14" borderId="10" xfId="0" applyFill="1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14" borderId="5" xfId="0" applyFill="1" applyBorder="1"/>
    <xf numFmtId="49" fontId="0" fillId="0" borderId="0" xfId="0" applyNumberFormat="1" applyProtection="1">
      <protection locked="0"/>
    </xf>
    <xf numFmtId="0" fontId="0" fillId="0" borderId="1" xfId="0" quotePrefix="1" applyBorder="1"/>
    <xf numFmtId="0" fontId="4" fillId="16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5" fillId="0" borderId="13" xfId="0" applyNumberFormat="1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49" fontId="0" fillId="8" borderId="0" xfId="0" applyNumberFormat="1" applyFill="1" applyAlignment="1">
      <alignment horizontal="center" vertical="center"/>
    </xf>
    <xf numFmtId="0" fontId="0" fillId="0" borderId="0" xfId="0"/>
    <xf numFmtId="49" fontId="0" fillId="6" borderId="0" xfId="0" applyNumberFormat="1" applyFill="1" applyAlignment="1">
      <alignment horizontal="center" vertical="center"/>
    </xf>
    <xf numFmtId="49" fontId="0" fillId="0" borderId="0" xfId="0" applyNumberFormat="1"/>
  </cellXfs>
  <cellStyles count="2">
    <cellStyle name="Normal" xfId="0" builtinId="0"/>
    <cellStyle name="標準 2" xfId="1" xr:uid="{00000000-0005-0000-0000-000001000000}"/>
  </cellStyles>
  <dxfs count="126">
    <dxf>
      <numFmt numFmtId="30" formatCode="@"/>
      <alignment horizontal="center"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center"/>
      <protection locked="0" hidden="0"/>
    </dxf>
    <dxf>
      <numFmt numFmtId="30" formatCode="@"/>
      <alignment horizontal="left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protection locked="0" hidden="0"/>
    </dxf>
    <dxf>
      <numFmt numFmtId="0" formatCode="General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alignment vertical="center"/>
    </dxf>
    <dxf>
      <numFmt numFmtId="30" formatCode="@"/>
      <alignment horizontal="center" vertical="center"/>
    </dxf>
    <dxf>
      <numFmt numFmtId="30" formatCode="@"/>
      <alignment horizontal="left" vertical="center"/>
    </dxf>
    <dxf>
      <numFmt numFmtId="30" formatCode="@"/>
      <alignment horizontal="left" vertical="center"/>
    </dxf>
    <dxf>
      <numFmt numFmtId="30" formatCode="@"/>
      <alignment horizontal="left" vertical="center"/>
      <border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30" formatCode="@"/>
      <alignment horizontal="left" vertical="center"/>
    </dxf>
    <dxf>
      <numFmt numFmtId="30" formatCode="@"/>
      <alignment horizontal="left" vertical="center" wrapText="1"/>
    </dxf>
    <dxf>
      <numFmt numFmtId="30" formatCode="@"/>
      <alignment horizontal="center" vertical="bottom"/>
      <protection locked="0" hidden="0"/>
    </dxf>
    <dxf>
      <numFmt numFmtId="30" formatCode="@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left" vertical="center"/>
      <protection locked="0" hidden="0"/>
    </dxf>
    <dxf>
      <numFmt numFmtId="30" formatCode="@"/>
      <alignment horizontal="general" vertical="center"/>
      <protection locked="0" hidden="0"/>
    </dxf>
    <dxf>
      <alignment horizontal="left" vertical="center"/>
    </dxf>
    <dxf>
      <numFmt numFmtId="30" formatCode="@"/>
      <fill>
        <patternFill>
          <fgColor indexed="64"/>
          <bgColor auto="1"/>
        </patternFill>
      </fill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 wrapText="1"/>
    </dxf>
    <dxf>
      <numFmt numFmtId="0" formatCode="General"/>
      <alignment horizontal="general" vertical="center"/>
    </dxf>
    <dxf>
      <numFmt numFmtId="0" formatCode="General"/>
      <alignment horizontal="general" vertical="center"/>
    </dxf>
    <dxf>
      <numFmt numFmtId="30" formatCode="@"/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fill>
        <patternFill>
          <fgColor indexed="64"/>
          <bgColor indexed="65"/>
        </patternFill>
      </fill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  <protection locked="0" hidden="0"/>
    </dxf>
    <dxf>
      <alignment horizontal="general" vertical="center" wrapText="1"/>
    </dxf>
    <dxf>
      <numFmt numFmtId="30" formatCode="@"/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 wrapText="1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 wrapText="1"/>
    </dxf>
    <dxf>
      <alignment horizontal="general" vertical="center"/>
    </dxf>
    <dxf>
      <numFmt numFmtId="0" formatCode="General"/>
      <fill>
        <patternFill>
          <bgColor auto="1"/>
        </patternFill>
      </fill>
      <alignment horizontal="general" vertical="center"/>
    </dxf>
    <dxf>
      <fill>
        <patternFill>
          <bgColor auto="1"/>
        </patternFill>
      </fill>
      <alignment horizontal="general" vertical="center"/>
    </dxf>
    <dxf>
      <alignment horizontal="center" vertical="center"/>
    </dxf>
    <dxf>
      <alignment vertical="center"/>
    </dxf>
    <dxf>
      <alignment horizontal="right" vertical="center"/>
    </dxf>
    <dxf>
      <alignment vertical="center"/>
    </dxf>
    <dxf>
      <alignment vertical="center"/>
    </dxf>
    <dxf>
      <fill>
        <patternFill patternType="solid">
          <fgColor indexed="64"/>
          <bgColor theme="1" tint="0.34998626667073579"/>
        </patternFill>
      </fill>
      <alignment horizontal="center" vertical="bottom"/>
    </dxf>
    <dxf>
      <numFmt numFmtId="30" formatCode="@"/>
      <alignment horizontal="center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>
          <fgColor indexed="64"/>
          <bgColor indexed="65"/>
        </patternFill>
      </fill>
      <alignment horizontal="general" vertical="bottom" wrapText="1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general" vertical="bottom" wrapText="1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indexed="65"/>
        </patternFill>
      </fill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30" formatCode="@"/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numFmt numFmtId="30" formatCode="@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ＭＳ Ｐゴシック"/>
        <family val="2"/>
        <scheme val="minor"/>
      </font>
      <numFmt numFmtId="30" formatCode="@"/>
      <alignment horizontal="center" vertical="bottom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  <protection locked="0" hidden="0"/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alignment horizontal="general" vertical="center"/>
      <protection locked="0" hidden="0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center" wrapText="1"/>
      <border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alignment vertical="center"/>
    </dxf>
    <dxf>
      <numFmt numFmtId="30" formatCode="@"/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ype&#12503;&#12523;&#12480;&#12454;&#12531;&#38917;&#30446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Typeプルダウン項目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 totalsRowShown="0">
  <autoFilter ref="A1:B15" xr:uid="{00000000-0009-0000-0100-000001000000}"/>
  <tableColumns count="2">
    <tableColumn id="1" xr3:uid="{00000000-0010-0000-0000-000001000000}" name="Data Pattern"/>
    <tableColumn id="2" xr3:uid="{00000000-0010-0000-0000-000002000000}" name="enum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7" displayName="Table47" ref="A1:C9" totalsRowShown="0">
  <autoFilter ref="A1:C9" xr:uid="{00000000-0009-0000-0100-000002000000}"/>
  <tableColumns count="3">
    <tableColumn id="1" xr3:uid="{00000000-0010-0000-0100-000001000000}" name="FK Type (Japanese)"/>
    <tableColumn id="2" xr3:uid="{00000000-0010-0000-0100-000002000000}" name="FK Type"/>
    <tableColumn id="3" xr3:uid="{00000000-0010-0000-0100-000003000000}" name="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3:D4" totalsRowShown="0" headerRowDxfId="87" dataDxfId="86">
  <autoFilter ref="A3:D4" xr:uid="{00000000-0009-0000-0100-000003000000}"/>
  <tableColumns count="4">
    <tableColumn id="1" xr3:uid="{00000000-0010-0000-0200-000001000000}" name="Date" dataDxfId="85"/>
    <tableColumn id="2" xr3:uid="{00000000-0010-0000-0200-000002000000}" name="Version" dataDxfId="84"/>
    <tableColumn id="3" xr3:uid="{00000000-0010-0000-0200-000003000000}" name="Changes" dataDxfId="83"/>
    <tableColumn id="4" xr3:uid="{00000000-0010-0000-0200-000004000000}" name="Changed By" dataDxfId="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0" displayName="Table50" ref="A5:H28" totalsRowShown="0" dataDxfId="81">
  <autoFilter ref="A5:H28" xr:uid="{00000000-0009-0000-0100-000004000000}"/>
  <tableColumns count="8">
    <tableColumn id="1" xr3:uid="{00000000-0010-0000-0300-000001000000}" name="#" dataDxfId="80">
      <calculatedColumnFormula>ROW()-5</calculatedColumnFormula>
    </tableColumn>
    <tableColumn id="8" xr3:uid="{00000000-0010-0000-0300-000008000000}" name="Category" dataDxfId="79"/>
    <tableColumn id="2" xr3:uid="{00000000-0010-0000-0300-000002000000}" name="Category Name" dataDxfId="78"/>
    <tableColumn id="3" xr3:uid="{00000000-0010-0000-0300-000003000000}" name="Key" dataDxfId="77"/>
    <tableColumn id="4" xr3:uid="{00000000-0010-0000-0300-000004000000}" name="Description" dataDxfId="76"/>
    <tableColumn id="9" xr3:uid="{00000000-0010-0000-0300-000009000000}" name="Required" dataDxfId="75"/>
    <tableColumn id="5" xr3:uid="{00000000-0010-0000-0300-000005000000}" name="Value" dataDxfId="74"/>
    <tableColumn id="6" xr3:uid="{00000000-0010-0000-0300-000006000000}" name="Notes" dataDxfId="7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A7:S44" tableType="xml" totalsRowShown="0" headerRowDxfId="72" dataDxfId="71">
  <tableColumns count="19">
    <tableColumn id="1" xr3:uid="{00000000-0010-0000-0400-000001000000}" uniqueName="name" name="DataType Name" dataDxfId="70">
      <xmlColumnPr mapId="191" xpath="/root/datatype/@name" xmlDataType="string"/>
    </tableColumn>
    <tableColumn id="3" xr3:uid="{00000000-0010-0000-0400-000003000000}" uniqueName="kata" name="Type" dataDxfId="69">
      <xmlColumnPr mapId="191" xpath="/root/datatype/kata" xmlDataType="string"/>
    </tableColumn>
    <tableColumn id="4" xr3:uid="{00000000-0010-0000-0400-000004000000}" uniqueName="minLength" name="Min Length" dataDxfId="68">
      <xmlColumnPr mapId="191" xpath="/root/datatype/minLength" xmlDataType="string"/>
    </tableColumn>
    <tableColumn id="11" xr3:uid="{00000000-0010-0000-0400-00000B000000}" uniqueName="maxLength" name="Max Length" dataDxfId="67">
      <xmlColumnPr mapId="191" xpath="/root/datatype/maxLength" xmlDataType="string"/>
    </tableColumn>
    <tableColumn id="15" xr3:uid="{00000000-0010-0000-0400-00000F000000}" uniqueName="numScale" name="Data Pattern (display name)" dataDxfId="66"/>
    <tableColumn id="24" xr3:uid="{00000000-0010-0000-0400-000018000000}" uniqueName="stringDataPtn" name="Data Pattern" dataDxfId="65">
      <xmlColumnPr mapId="191" xpath="/root/datatype/stringDataPtn" xmlDataType="string"/>
    </tableColumn>
    <tableColumn id="18" xr3:uid="{00000000-0010-0000-0400-000012000000}" uniqueName="18" name="Exclude Prohibited Chars Check" dataDxfId="64"/>
    <tableColumn id="25" xr3:uid="{00000000-0010-0000-0400-000019000000}" uniqueName="stringRegEx" name="Regex" dataDxfId="63">
      <xmlColumnPr mapId="191" xpath="/root/datatype/stringRegEx" xmlDataType="string"/>
    </tableColumn>
    <tableColumn id="9" xr3:uid="{00000000-0010-0000-0400-000009000000}" uniqueName="numMinVal" name="Min Value" dataDxfId="62">
      <xmlColumnPr mapId="191" xpath="/root/datatype/numMinVal" xmlDataType="string"/>
    </tableColumn>
    <tableColumn id="10" xr3:uid="{00000000-0010-0000-0400-00000A000000}" uniqueName="numMaxVal" name="Max Value" dataDxfId="61">
      <xmlColumnPr mapId="191" xpath="/root/datatype/numMaxVal" xmlDataType="string"/>
    </tableColumn>
    <tableColumn id="12" xr3:uid="{00000000-0010-0000-0400-00000C000000}" uniqueName="numDigitInteger" name="Integer Digits" dataDxfId="60">
      <xmlColumnPr mapId="191" xpath="/root/datatype/numDigitInteger" xmlDataType="string"/>
    </tableColumn>
    <tableColumn id="13" xr3:uid="{00000000-0010-0000-0400-00000D000000}" uniqueName="numDigitFraction" name="Decimal Digits" dataDxfId="59">
      <xmlColumnPr mapId="191" xpath="/root/datatype/numDigitFraction" xmlDataType="string"/>
    </tableColumn>
    <tableColumn id="5" xr3:uid="{00000000-0010-0000-0400-000005000000}" uniqueName="enumCodeLength" name="Code Length" dataDxfId="58">
      <xmlColumnPr mapId="191" xpath="/root/datatype/enumCodeLength" xmlDataType="string"/>
    </tableColumn>
    <tableColumn id="14" xr3:uid="{00000000-0010-0000-0400-00000E000000}" uniqueName="notNeedsTimezone" name="No Timezone" dataDxfId="57">
      <xmlColumnPr mapId="191" xpath="/root/datatype/notNeedsTimezone" xmlDataType="string"/>
    </tableColumn>
    <tableColumn id="16" xr3:uid="{00000000-0010-0000-0400-000010000000}" uniqueName="javadoc" name="Notes" dataDxfId="56">
      <xmlColumnPr mapId="191" xpath="/root/datatype/javadoc" xmlDataType="string"/>
    </tableColumn>
    <tableColumn id="2" xr3:uid="{00000000-0010-0000-0400-000002000000}" uniqueName="2" name="Pattern Desc (Default Lang)" dataDxfId="55"/>
    <tableColumn id="19" xr3:uid="{00000000-0010-0000-0400-000013000000}" uniqueName="19" name="Pattern Desc (Additional Lang 1)" dataDxfId="54"/>
    <tableColumn id="20" xr3:uid="{00000000-0010-0000-0400-000014000000}" uniqueName="20" name="Pattern Desc (Additional Lang 2)" dataDxfId="53"/>
    <tableColumn id="21" xr3:uid="{00000000-0010-0000-0400-000015000000}" uniqueName="21" name="Pattern Desc (Additional Lang 3)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6:I19" tableType="xml" totalsRowShown="0" headerRowDxfId="51" dataDxfId="50">
  <autoFilter ref="A6:I19" xr:uid="{00000000-0009-0000-0100-000006000000}"/>
  <tableColumns count="9">
    <tableColumn id="1" xr3:uid="{00000000-0010-0000-0500-000001000000}" uniqueName="dataTypeName" name="DataType Name" dataDxfId="49">
      <xmlColumnPr mapId="132" xpath="/root/enum/dataTypeName" xmlDataType="string"/>
    </tableColumn>
    <tableColumn id="8" xr3:uid="{00000000-0010-0000-0500-000008000000}" uniqueName="8" name="code" dataDxfId="48"/>
    <tableColumn id="5" xr3:uid="{00000000-0010-0000-0500-000005000000}" uniqueName="varName" name="varName" dataDxfId="47">
      <xmlColumnPr mapId="132" xpath="/root/enum/varName" xmlDataType="string"/>
    </tableColumn>
    <tableColumn id="10" xr3:uid="{00000000-0010-0000-0500-00000A000000}" uniqueName="10" name="Java Only" dataDxfId="46"/>
    <tableColumn id="12" xr3:uid="{00000000-0010-0000-0500-00000C000000}" uniqueName="javadoc-value" name="Notes" dataDxfId="45">
      <xmlColumnPr mapId="132" xpath="/root/enum/javadoc-value" xmlDataType="string"/>
    </tableColumn>
    <tableColumn id="9" xr3:uid="{00000000-0010-0000-0500-000009000000}" uniqueName="9" name="Display Name (Default Lang)" dataDxfId="44"/>
    <tableColumn id="4" xr3:uid="{00000000-0010-0000-0500-000004000000}" uniqueName="dispNameAddLang1" name="Display Name (Additional Lang 1)" dataDxfId="43">
      <xmlColumnPr mapId="132" xpath="/root/enum/dispNameAddLang1" xmlDataType="string"/>
    </tableColumn>
    <tableColumn id="6" xr3:uid="{00000000-0010-0000-0500-000006000000}" uniqueName="dispNameAddLang2" name="Display Name (Additional Lang 2)" dataDxfId="42">
      <xmlColumnPr mapId="132" xpath="/root/enum/dispNameAddLang2" xmlDataType="string"/>
    </tableColumn>
    <tableColumn id="7" xr3:uid="{00000000-0010-0000-0500-000007000000}" uniqueName="dispNameAddLang3" name="Display Name (Additional Lang 3)" dataDxfId="41">
      <xmlColumnPr mapId="132" xpath="/root/enum/dispNameAddLang3" xmlDataType="string"/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5:AL90" tableType="xml" totalsRowShown="0" headerRowDxfId="40" dataDxfId="39">
  <autoFilter ref="A5:AL90" xr:uid="{00000000-0009-0000-0100-000007000000}"/>
  <tableColumns count="38">
    <tableColumn id="1" xr3:uid="{00000000-0010-0000-0600-000001000000}" uniqueName="table" name="Table Name" dataDxfId="38">
      <xmlColumnPr mapId="161" xpath="/root/column/table" xmlDataType="string"/>
    </tableColumn>
    <tableColumn id="2" xr3:uid="{00000000-0010-0000-0600-000002000000}" uniqueName="name" name="Column Name" dataDxfId="37">
      <xmlColumnPr mapId="161" xpath="/root/column/@name" xmlDataType="string"/>
    </tableColumn>
    <tableColumn id="15" xr3:uid="{00000000-0010-0000-0600-00000F000000}" uniqueName="dataType" name="dataType" dataDxfId="36">
      <xmlColumnPr mapId="161" xpath="/root/column/dataType" xmlDataType="string"/>
    </tableColumn>
    <tableColumn id="16" xr3:uid="{00000000-0010-0000-0600-000010000000}" uniqueName="16" name="dataType Check" dataDxfId="35">
      <calculatedColumnFormula>IF(Table7[[#This Row],[dataType]]="","",IF(NOT(ISNA(VLOOKUP(Table7[[#This Row],[dataType]], 'dataType Definition'!A:A, 1,FALSE))), "○", "×"))</calculatedColumnFormula>
    </tableColumn>
    <tableColumn id="28" xr3:uid="{00000000-0010-0000-0600-00001C000000}" uniqueName="28" name="Java Only" dataDxfId="34"/>
    <tableColumn id="6" xr3:uid="{00000000-0010-0000-0600-000006000000}" uniqueName="pk" name="Surrogate key " dataDxfId="33">
      <xmlColumnPr mapId="161" xpath="/root/column/pk" xmlDataType="string"/>
    </tableColumn>
    <tableColumn id="29" xr3:uid="{00000000-0010-0000-0600-00001D000000}" uniqueName="29" name="natural key (unique key)" dataDxfId="32"/>
    <tableColumn id="8" xr3:uid="{00000000-0010-0000-0600-000008000000}" uniqueName="nullable" name="nullable" dataDxfId="31">
      <xmlColumnPr mapId="161" xpath="/root/column/nullable" xmlDataType="string"/>
    </tableColumn>
    <tableColumn id="10" xr3:uid="{00000000-0010-0000-0600-00000A000000}" uniqueName="autoIncrement" name="Auto Numbering" dataDxfId="30">
      <xmlColumnPr mapId="161" xpath="/root/column/autoIncrement" xmlDataType="string"/>
    </tableColumn>
    <tableColumn id="21" xr3:uid="{00000000-0010-0000-0600-000015000000}" uniqueName="forcedIncrement" name="Force Numbering" dataDxfId="29">
      <xmlColumnPr mapId="161" xpath="/root/column/forcedIncrement" xmlDataType="string"/>
    </tableColumn>
    <tableColumn id="11" xr3:uid="{00000000-0010-0000-0600-00000B000000}" uniqueName="autoUpdate" name="Auto Update" dataDxfId="28">
      <xmlColumnPr mapId="161" xpath="/root/column/autoUpdate" xmlDataType="string"/>
    </tableColumn>
    <tableColumn id="20" xr3:uid="{00000000-0010-0000-0600-000014000000}" uniqueName="forcedUpdate" name="Force Update" dataDxfId="27">
      <xmlColumnPr mapId="161" xpath="/root/column/forcedUpdate" xmlDataType="string"/>
    </tableColumn>
    <tableColumn id="12" xr3:uid="{00000000-0010-0000-0600-00000C000000}" uniqueName="valueChangeMethod" name="Group Identifier" dataDxfId="26">
      <xmlColumnPr mapId="161" xpath="/root/column/valueChangeMethod" xmlDataType="string"/>
    </tableColumn>
    <tableColumn id="18" xr3:uid="{00000000-0010-0000-0600-000012000000}" uniqueName="updatedValue" name="Spring Audit" dataDxfId="25">
      <xmlColumnPr mapId="161" xpath="/root/column/updatedValue" xmlDataType="string"/>
    </tableColumn>
    <tableColumn id="19" xr3:uid="{00000000-0010-0000-0600-000013000000}" uniqueName="optLock" name="Relation: Type" dataDxfId="24">
      <xmlColumnPr mapId="161" xpath="/root/column/optLock" xmlDataType="string"/>
    </tableColumn>
    <tableColumn id="22" xr3:uid="{00000000-0010-0000-0600-000016000000}" uniqueName="22" name="Relation: Direction" dataDxfId="23"/>
    <tableColumn id="26" xr3:uid="{00000000-0010-0000-0600-00001A000000}" uniqueName="26" name="Relation: Source Var Name" dataDxfId="22"/>
    <tableColumn id="30" xr3:uid="{1FEA5248-3F3C-6F4B-854E-5B395E0011DF}" uniqueName="30" name="Relation: Source Var itemNameKeyClass" dataDxfId="0"/>
    <tableColumn id="23" xr3:uid="{00000000-0010-0000-0600-000017000000}" uniqueName="23" name="Relation: Target Table" dataDxfId="21"/>
    <tableColumn id="24" xr3:uid="{00000000-0010-0000-0600-000018000000}" uniqueName="24" name="Relation: Target Column" dataDxfId="20"/>
    <tableColumn id="27" xr3:uid="{00000000-0010-0000-0600-00001B000000}" uniqueName="27" name="Relation: Target Var Name" dataDxfId="19"/>
    <tableColumn id="31" xr3:uid="{2E87DC37-9751-0343-9DE4-5291D6394DBB}" uniqueName="31" name="Relation: Target Var itemNameKeyClass"/>
    <tableColumn id="25" xr3:uid="{00000000-0010-0000-0600-000019000000}" uniqueName="25" name="Relation: Eager" dataDxfId="18"/>
    <tableColumn id="17" xr3:uid="{00000000-0010-0000-0600-000011000000}" uniqueName="index1" name="index1" dataDxfId="17">
      <xmlColumnPr mapId="161" xpath="/root/column/index1" xmlDataType="string"/>
    </tableColumn>
    <tableColumn id="14" xr3:uid="{00000000-0010-0000-0600-00000E000000}" uniqueName="index2" name="index2" dataDxfId="16">
      <xmlColumnPr mapId="161" xpath="/root/column/index2" xmlDataType="string"/>
    </tableColumn>
    <tableColumn id="13" xr3:uid="{00000000-0010-0000-0600-00000D000000}" uniqueName="index3" name="index3" dataDxfId="15">
      <xmlColumnPr mapId="161" xpath="/root/column/index3" xmlDataType="string"/>
    </tableColumn>
    <tableColumn id="34" xr3:uid="{00000000-0010-0000-0600-000022000000}" uniqueName="34" name="index4" dataDxfId="14"/>
    <tableColumn id="35" xr3:uid="{00000000-0010-0000-0600-000023000000}" uniqueName="35" name="index5" dataDxfId="13"/>
    <tableColumn id="36" xr3:uid="{00000000-0010-0000-0600-000024000000}" uniqueName="36" name="index6" dataDxfId="12"/>
    <tableColumn id="37" xr3:uid="{00000000-0010-0000-0600-000025000000}" uniqueName="37" name="index7" dataDxfId="11"/>
    <tableColumn id="38" xr3:uid="{00000000-0010-0000-0600-000026000000}" uniqueName="38" name="index8" dataDxfId="10"/>
    <tableColumn id="39" xr3:uid="{00000000-0010-0000-0600-000027000000}" uniqueName="39" name="index9" dataDxfId="9"/>
    <tableColumn id="40" xr3:uid="{00000000-0010-0000-0600-000028000000}" uniqueName="40" name="index10" dataDxfId="8"/>
    <tableColumn id="5" xr3:uid="{00000000-0010-0000-0600-000005000000}" uniqueName="dispNameAddLang1" name="Notes" dataDxfId="7"/>
    <tableColumn id="9" xr3:uid="{00000000-0010-0000-0600-000009000000}" uniqueName="9" name="Column Display Name (Default Lang)" dataDxfId="6"/>
    <tableColumn id="3" xr3:uid="{00000000-0010-0000-0600-000003000000}" uniqueName="dispNameAddLang1" name="Column Display Name (Additional Lang 1)" dataDxfId="5">
      <xmlColumnPr mapId="161" xpath="/root/column/dispNameAddLang1" xmlDataType="string"/>
    </tableColumn>
    <tableColumn id="4" xr3:uid="{00000000-0010-0000-0600-000004000000}" uniqueName="dispNameAddLang2" name="Column Display Name (Additional Lang 2)" dataDxfId="4">
      <xmlColumnPr mapId="161" xpath="/root/column/dispNameAddLang2" xmlDataType="string"/>
    </tableColumn>
    <tableColumn id="7" xr3:uid="{00000000-0010-0000-0600-000007000000}" uniqueName="dispNameAddLang3" name="Column Display Name (Additional Lang 3)" dataDxfId="3">
      <xmlColumnPr mapId="161" xpath="/root/column/dispNameAddLang3" xmlDataType="string"/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4" displayName="Table74" ref="A5:AL13" totalsRowShown="0" headerRowDxfId="125" dataDxfId="124">
  <autoFilter ref="A5:AL13" xr:uid="{00000000-0009-0000-0100-000008000000}"/>
  <tableColumns count="38">
    <tableColumn id="1" xr3:uid="{00000000-0010-0000-0700-000001000000}" name="Table Name" dataDxfId="123"/>
    <tableColumn id="2" xr3:uid="{00000000-0010-0000-0700-000002000000}" name="Column Name" dataDxfId="122"/>
    <tableColumn id="15" xr3:uid="{00000000-0010-0000-0700-00000F000000}" name="dataType" dataDxfId="121"/>
    <tableColumn id="16" xr3:uid="{00000000-0010-0000-0700-000010000000}" name="dataType Check" dataDxfId="120">
      <calculatedColumnFormula>IF(Table74[[#This Row],[dataType]]="","",IF(NOT(ISNA(VLOOKUP(Table74[[#This Row],[dataType]], 'dataType Definition'!A:A, 1,FALSE))), "○", "×"))</calculatedColumnFormula>
    </tableColumn>
    <tableColumn id="28" xr3:uid="{00000000-0010-0000-0700-00001C000000}" name="Java Only" dataDxfId="119"/>
    <tableColumn id="9" xr3:uid="{00000000-0010-0000-0700-000009000000}" name="Surrogate key " dataDxfId="118"/>
    <tableColumn id="8" xr3:uid="{00000000-0010-0000-0700-000008000000}" name="natural key (unique key)" dataDxfId="117"/>
    <tableColumn id="29" xr3:uid="{00000000-0010-0000-0700-00001D000000}" name="nullable" dataDxfId="116"/>
    <tableColumn id="10" xr3:uid="{00000000-0010-0000-0700-00000A000000}" name="Auto Numbering" dataDxfId="115"/>
    <tableColumn id="21" xr3:uid="{00000000-0010-0000-0700-000015000000}" name="Force Numbering" dataDxfId="114"/>
    <tableColumn id="11" xr3:uid="{00000000-0010-0000-0700-00000B000000}" name="Auto Update" dataDxfId="113"/>
    <tableColumn id="20" xr3:uid="{00000000-0010-0000-0700-000014000000}" name="Force Update" dataDxfId="112"/>
    <tableColumn id="12" xr3:uid="{00000000-0010-0000-0700-00000C000000}" name="Group Identifier" dataDxfId="111"/>
    <tableColumn id="18" xr3:uid="{00000000-0010-0000-0700-000012000000}" name="Spring Audit" dataDxfId="110"/>
    <tableColumn id="19" xr3:uid="{00000000-0010-0000-0700-000013000000}" name="Relation: Type" dataDxfId="109"/>
    <tableColumn id="22" xr3:uid="{00000000-0010-0000-0700-000016000000}" name="Relation: Direction" dataDxfId="108"/>
    <tableColumn id="26" xr3:uid="{00000000-0010-0000-0700-00001A000000}" name="Relation: Source Var Name" dataDxfId="107"/>
    <tableColumn id="6" xr3:uid="{B9DEECE4-2B40-D742-AB14-FDAF3E54FA61}" name="Relation: Source Var itemNameKeyClass" dataDxfId="2"/>
    <tableColumn id="23" xr3:uid="{00000000-0010-0000-0700-000017000000}" name="Relation: Target Table" dataDxfId="106"/>
    <tableColumn id="24" xr3:uid="{00000000-0010-0000-0700-000018000000}" name="Relation: Target Column" dataDxfId="105"/>
    <tableColumn id="27" xr3:uid="{00000000-0010-0000-0700-00001B000000}" name="Relation: Target Var Name" dataDxfId="104"/>
    <tableColumn id="30" xr3:uid="{1CAF9052-657F-9041-8A1A-78A30F38ED6F}" name="Relation: Target Var itemNameKeyClass" dataDxfId="1"/>
    <tableColumn id="25" xr3:uid="{00000000-0010-0000-0700-000019000000}" name="Relation: Eager" dataDxfId="103"/>
    <tableColumn id="17" xr3:uid="{00000000-0010-0000-0700-000011000000}" name="index1" dataDxfId="102"/>
    <tableColumn id="14" xr3:uid="{00000000-0010-0000-0700-00000E000000}" name="index2" dataDxfId="101"/>
    <tableColumn id="13" xr3:uid="{00000000-0010-0000-0700-00000D000000}" name="index3" dataDxfId="100"/>
    <tableColumn id="33" xr3:uid="{00000000-0010-0000-0700-000021000000}" name="index4" dataDxfId="99"/>
    <tableColumn id="34" xr3:uid="{00000000-0010-0000-0700-000022000000}" name="index5" dataDxfId="98"/>
    <tableColumn id="35" xr3:uid="{00000000-0010-0000-0700-000023000000}" name="index6" dataDxfId="97"/>
    <tableColumn id="36" xr3:uid="{00000000-0010-0000-0700-000024000000}" name="index7" dataDxfId="96"/>
    <tableColumn id="37" xr3:uid="{00000000-0010-0000-0700-000025000000}" name="index8" dataDxfId="95"/>
    <tableColumn id="38" xr3:uid="{00000000-0010-0000-0700-000026000000}" name="index9" dataDxfId="94"/>
    <tableColumn id="39" xr3:uid="{00000000-0010-0000-0700-000027000000}" name="index10" dataDxfId="93"/>
    <tableColumn id="5" xr3:uid="{00000000-0010-0000-0700-000005000000}" name="Notes" dataDxfId="92"/>
    <tableColumn id="32" xr3:uid="{00000000-0010-0000-0700-000020000000}" name="Column Display Name (Default Lang)" dataDxfId="91"/>
    <tableColumn id="3" xr3:uid="{00000000-0010-0000-0700-000003000000}" name="Column Display Name (Additional Lang 1)" dataDxfId="90"/>
    <tableColumn id="4" xr3:uid="{00000000-0010-0000-0700-000004000000}" name="Column Display Name (Additional Lang 2)" dataDxfId="89"/>
    <tableColumn id="7" xr3:uid="{00000000-0010-0000-0700-000007000000}" name="Column Display Name (Additional Lang 3)" dataDxfId="8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A18" sqref="A18"/>
    </sheetView>
  </sheetViews>
  <sheetFormatPr baseColWidth="10" defaultColWidth="8.83203125" defaultRowHeight="15"/>
  <cols>
    <col min="1" max="1" width="21.33203125" customWidth="1"/>
    <col min="2" max="2" width="12.83203125" bestFit="1" customWidth="1"/>
    <col min="3" max="3" width="30.1640625" customWidth="1"/>
  </cols>
  <sheetData>
    <row r="1" spans="1:3">
      <c r="A1" s="125" t="s">
        <v>75</v>
      </c>
      <c r="B1" s="126"/>
      <c r="C1" s="127"/>
    </row>
    <row r="2" spans="1:3">
      <c r="A2" s="122" t="s">
        <v>76</v>
      </c>
      <c r="B2" s="122" t="s">
        <v>77</v>
      </c>
      <c r="C2" s="122" t="s">
        <v>78</v>
      </c>
    </row>
    <row r="3" spans="1:3">
      <c r="A3" s="121" t="s">
        <v>79</v>
      </c>
      <c r="B3" s="18" t="s">
        <v>80</v>
      </c>
      <c r="C3" s="19" t="s">
        <v>81</v>
      </c>
    </row>
    <row r="4" spans="1:3">
      <c r="A4" s="121" t="s">
        <v>82</v>
      </c>
      <c r="B4" s="18" t="s">
        <v>83</v>
      </c>
      <c r="C4" s="19"/>
    </row>
    <row r="5" spans="1:3">
      <c r="A5" s="121" t="s">
        <v>84</v>
      </c>
      <c r="B5" s="18" t="s">
        <v>85</v>
      </c>
      <c r="C5" s="19"/>
    </row>
    <row r="6" spans="1:3">
      <c r="A6" s="121" t="s">
        <v>86</v>
      </c>
      <c r="B6" s="18" t="s">
        <v>87</v>
      </c>
      <c r="C6" s="19"/>
    </row>
    <row r="7" spans="1:3">
      <c r="A7" s="121" t="s">
        <v>88</v>
      </c>
      <c r="B7" s="18" t="s">
        <v>89</v>
      </c>
      <c r="C7" s="19"/>
    </row>
    <row r="8" spans="1:3">
      <c r="A8" s="121" t="s">
        <v>90</v>
      </c>
      <c r="B8" s="18" t="s">
        <v>91</v>
      </c>
      <c r="C8" s="19"/>
    </row>
    <row r="9" spans="1:3">
      <c r="A9" s="121" t="s">
        <v>92</v>
      </c>
      <c r="B9" s="18" t="s">
        <v>93</v>
      </c>
      <c r="C9" s="19"/>
    </row>
    <row r="10" spans="1:3">
      <c r="A10" s="121" t="s">
        <v>94</v>
      </c>
      <c r="B10" s="18" t="s">
        <v>95</v>
      </c>
      <c r="C10" s="19"/>
    </row>
    <row r="11" spans="1:3">
      <c r="A11" s="121" t="s">
        <v>96</v>
      </c>
      <c r="B11" s="18" t="s">
        <v>97</v>
      </c>
      <c r="C11" s="19"/>
    </row>
    <row r="12" spans="1:3">
      <c r="A12" s="121" t="s">
        <v>98</v>
      </c>
      <c r="B12" s="18" t="s">
        <v>99</v>
      </c>
      <c r="C12" s="19"/>
    </row>
    <row r="13" spans="1:3">
      <c r="A13" s="121" t="s">
        <v>100</v>
      </c>
      <c r="B13" s="18" t="s">
        <v>101</v>
      </c>
      <c r="C13" s="19"/>
    </row>
    <row r="14" spans="1:3">
      <c r="A14" s="121" t="s">
        <v>102</v>
      </c>
      <c r="B14" s="18" t="s">
        <v>103</v>
      </c>
      <c r="C14" s="19"/>
    </row>
    <row r="15" spans="1:3">
      <c r="A15" s="121" t="s">
        <v>104</v>
      </c>
      <c r="B15" s="18" t="s">
        <v>105</v>
      </c>
      <c r="C15" s="19"/>
    </row>
    <row r="16" spans="1:3">
      <c r="A16" s="121" t="s">
        <v>106</v>
      </c>
      <c r="B16" s="18" t="s">
        <v>107</v>
      </c>
      <c r="C16" s="19"/>
    </row>
    <row r="17" spans="1:3">
      <c r="A17" s="19"/>
      <c r="B17" s="18" t="s">
        <v>108</v>
      </c>
      <c r="C17" s="19"/>
    </row>
    <row r="18" spans="1:3">
      <c r="A18" s="19"/>
      <c r="B18" s="18"/>
      <c r="C18" s="19"/>
    </row>
    <row r="19" spans="1:3">
      <c r="B19" s="16"/>
    </row>
    <row r="20" spans="1:3">
      <c r="C20" t="s">
        <v>109</v>
      </c>
    </row>
  </sheetData>
  <mergeCells count="1">
    <mergeCell ref="A1:C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26" sqref="B26"/>
    </sheetView>
  </sheetViews>
  <sheetFormatPr baseColWidth="10" defaultColWidth="8.83203125" defaultRowHeight="15"/>
  <cols>
    <col min="1" max="1" width="22" bestFit="1" customWidth="1"/>
    <col min="2" max="2" width="26" customWidth="1"/>
    <col min="3" max="3" width="19.1640625" bestFit="1" customWidth="1"/>
  </cols>
  <sheetData>
    <row r="1" spans="1:2">
      <c r="A1" t="s">
        <v>110</v>
      </c>
      <c r="B1" t="s">
        <v>111</v>
      </c>
    </row>
    <row r="2" spans="1:2">
      <c r="A2" t="s">
        <v>79</v>
      </c>
      <c r="B2" t="s">
        <v>112</v>
      </c>
    </row>
    <row r="3" spans="1:2">
      <c r="A3" t="s">
        <v>84</v>
      </c>
      <c r="B3" t="s">
        <v>113</v>
      </c>
    </row>
    <row r="4" spans="1:2">
      <c r="A4" t="s">
        <v>86</v>
      </c>
      <c r="B4" t="s">
        <v>114</v>
      </c>
    </row>
    <row r="5" spans="1:2">
      <c r="A5" t="s">
        <v>88</v>
      </c>
      <c r="B5" t="s">
        <v>115</v>
      </c>
    </row>
    <row r="6" spans="1:2">
      <c r="A6" t="s">
        <v>90</v>
      </c>
      <c r="B6" t="s">
        <v>116</v>
      </c>
    </row>
    <row r="7" spans="1:2">
      <c r="A7" t="s">
        <v>92</v>
      </c>
      <c r="B7" t="s">
        <v>117</v>
      </c>
    </row>
    <row r="8" spans="1:2">
      <c r="A8" t="s">
        <v>94</v>
      </c>
      <c r="B8" t="s">
        <v>118</v>
      </c>
    </row>
    <row r="9" spans="1:2">
      <c r="A9" t="s">
        <v>96</v>
      </c>
      <c r="B9" t="s">
        <v>119</v>
      </c>
    </row>
    <row r="10" spans="1:2">
      <c r="A10" t="s">
        <v>98</v>
      </c>
      <c r="B10" t="s">
        <v>120</v>
      </c>
    </row>
    <row r="11" spans="1:2">
      <c r="A11" t="s">
        <v>100</v>
      </c>
      <c r="B11" t="s">
        <v>121</v>
      </c>
    </row>
    <row r="12" spans="1:2">
      <c r="A12" t="s">
        <v>102</v>
      </c>
      <c r="B12" t="s">
        <v>122</v>
      </c>
    </row>
    <row r="13" spans="1:2">
      <c r="A13" t="s">
        <v>104</v>
      </c>
      <c r="B13" t="s">
        <v>123</v>
      </c>
    </row>
    <row r="14" spans="1:2">
      <c r="A14" t="s">
        <v>106</v>
      </c>
      <c r="B14" t="s">
        <v>124</v>
      </c>
    </row>
    <row r="15" spans="1:2">
      <c r="A15" t="s">
        <v>82</v>
      </c>
      <c r="B15" t="s">
        <v>125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B26" sqref="B26"/>
    </sheetView>
  </sheetViews>
  <sheetFormatPr baseColWidth="10" defaultColWidth="8.83203125" defaultRowHeight="15"/>
  <cols>
    <col min="1" max="1" width="25.1640625" bestFit="1" customWidth="1"/>
    <col min="2" max="2" width="12.1640625" customWidth="1"/>
    <col min="3" max="3" width="12.1640625" bestFit="1" customWidth="1"/>
  </cols>
  <sheetData>
    <row r="1" spans="1:3">
      <c r="A1" t="s">
        <v>126</v>
      </c>
      <c r="B1" t="s">
        <v>127</v>
      </c>
      <c r="C1" t="s">
        <v>128</v>
      </c>
    </row>
    <row r="2" spans="1:3">
      <c r="A2" t="s">
        <v>129</v>
      </c>
      <c r="B2" t="s">
        <v>130</v>
      </c>
      <c r="C2" t="s">
        <v>131</v>
      </c>
    </row>
    <row r="3" spans="1:3">
      <c r="A3" t="s">
        <v>132</v>
      </c>
      <c r="B3" t="s">
        <v>130</v>
      </c>
      <c r="C3" t="s">
        <v>133</v>
      </c>
    </row>
    <row r="4" spans="1:3">
      <c r="A4" t="s">
        <v>134</v>
      </c>
      <c r="B4" t="s">
        <v>135</v>
      </c>
      <c r="C4" t="s">
        <v>131</v>
      </c>
    </row>
    <row r="11" spans="1:3">
      <c r="A11" t="s">
        <v>136</v>
      </c>
    </row>
    <row r="12" spans="1:3">
      <c r="A12" t="s">
        <v>137</v>
      </c>
    </row>
    <row r="13" spans="1:3">
      <c r="A13" s="46" t="s">
        <v>138</v>
      </c>
    </row>
    <row r="14" spans="1:3">
      <c r="A14" t="s">
        <v>139</v>
      </c>
    </row>
    <row r="15" spans="1:3">
      <c r="A15" t="s">
        <v>140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/>
  </sheetViews>
  <sheetFormatPr baseColWidth="10" defaultColWidth="8.83203125" defaultRowHeight="15"/>
  <cols>
    <col min="1" max="1" width="11.6640625" customWidth="1"/>
    <col min="2" max="2" width="12.1640625" style="11" bestFit="1" customWidth="1"/>
    <col min="3" max="3" width="113.6640625" customWidth="1"/>
    <col min="4" max="4" width="9" style="10" customWidth="1"/>
  </cols>
  <sheetData>
    <row r="1" spans="1:4">
      <c r="A1" s="12" t="s">
        <v>141</v>
      </c>
    </row>
    <row r="3" spans="1:4">
      <c r="A3" s="77" t="s">
        <v>142</v>
      </c>
      <c r="B3" s="77" t="s">
        <v>143</v>
      </c>
      <c r="C3" s="77" t="s">
        <v>144</v>
      </c>
      <c r="D3" s="77" t="s">
        <v>145</v>
      </c>
    </row>
    <row r="4" spans="1:4" ht="80" customHeight="1">
      <c r="A4" s="13">
        <v>46196</v>
      </c>
      <c r="B4" s="14" t="s">
        <v>146</v>
      </c>
      <c r="C4" s="15" t="s">
        <v>147</v>
      </c>
      <c r="D4" s="4" t="s">
        <v>148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="113" zoomScaleNormal="110" workbookViewId="0">
      <pane ySplit="5" topLeftCell="A14" activePane="bottomLeft" state="frozen"/>
      <selection pane="bottomLeft" activeCell="G16" sqref="G16"/>
    </sheetView>
  </sheetViews>
  <sheetFormatPr baseColWidth="10" defaultColWidth="11" defaultRowHeight="15"/>
  <cols>
    <col min="1" max="1" width="4.5" bestFit="1" customWidth="1"/>
    <col min="2" max="2" width="19.33203125" hidden="1" customWidth="1"/>
    <col min="3" max="3" width="16" style="45" customWidth="1"/>
    <col min="4" max="4" width="27.6640625" hidden="1" customWidth="1"/>
    <col min="5" max="5" width="64.33203125" customWidth="1"/>
    <col min="6" max="6" width="7.33203125" bestFit="1" customWidth="1"/>
    <col min="7" max="7" width="30.1640625" bestFit="1" customWidth="1"/>
    <col min="8" max="8" width="48.33203125" customWidth="1"/>
  </cols>
  <sheetData>
    <row r="1" spans="1:8">
      <c r="A1" s="29" t="s">
        <v>149</v>
      </c>
    </row>
    <row r="3" spans="1:8">
      <c r="A3" t="s">
        <v>150</v>
      </c>
    </row>
    <row r="5" spans="1:8" ht="16" customHeight="1">
      <c r="A5" s="67" t="s">
        <v>151</v>
      </c>
      <c r="B5" s="67" t="s">
        <v>152</v>
      </c>
      <c r="C5" s="68" t="s">
        <v>153</v>
      </c>
      <c r="D5" s="67" t="s">
        <v>154</v>
      </c>
      <c r="E5" s="67" t="s">
        <v>155</v>
      </c>
      <c r="F5" s="67" t="s">
        <v>156</v>
      </c>
      <c r="G5" t="s">
        <v>157</v>
      </c>
      <c r="H5" t="s">
        <v>36</v>
      </c>
    </row>
    <row r="6" spans="1:8" ht="16" customHeight="1">
      <c r="A6" s="1">
        <f t="shared" ref="A6:A28" si="0">ROW()-5</f>
        <v>1</v>
      </c>
      <c r="B6" s="1" t="s">
        <v>158</v>
      </c>
      <c r="C6" s="15" t="s">
        <v>159</v>
      </c>
      <c r="D6" s="1" t="s">
        <v>160</v>
      </c>
      <c r="E6" s="15" t="s">
        <v>161</v>
      </c>
      <c r="F6" s="27" t="s">
        <v>162</v>
      </c>
      <c r="G6" s="1" t="s">
        <v>163</v>
      </c>
      <c r="H6" s="1"/>
    </row>
    <row r="7" spans="1:8" ht="32" customHeight="1">
      <c r="A7" s="1">
        <f t="shared" si="0"/>
        <v>2</v>
      </c>
      <c r="B7" s="1" t="s">
        <v>158</v>
      </c>
      <c r="C7" s="15" t="s">
        <v>159</v>
      </c>
      <c r="D7" s="1" t="s">
        <v>164</v>
      </c>
      <c r="E7" s="15" t="s">
        <v>165</v>
      </c>
      <c r="F7" s="27" t="s">
        <v>162</v>
      </c>
      <c r="G7" s="1" t="s">
        <v>166</v>
      </c>
      <c r="H7" s="1"/>
    </row>
    <row r="8" spans="1:8" ht="16" customHeight="1">
      <c r="A8" s="1">
        <f t="shared" si="0"/>
        <v>3</v>
      </c>
      <c r="B8" s="1" t="s">
        <v>158</v>
      </c>
      <c r="C8" s="15" t="s">
        <v>159</v>
      </c>
      <c r="D8" s="1" t="s">
        <v>167</v>
      </c>
      <c r="E8" s="1" t="s">
        <v>168</v>
      </c>
      <c r="F8" s="27" t="s">
        <v>162</v>
      </c>
      <c r="G8" s="1" t="s">
        <v>169</v>
      </c>
      <c r="H8" s="1"/>
    </row>
    <row r="9" spans="1:8" ht="32" customHeight="1">
      <c r="A9" s="1">
        <f t="shared" si="0"/>
        <v>4</v>
      </c>
      <c r="B9" s="1" t="s">
        <v>158</v>
      </c>
      <c r="C9" s="15" t="s">
        <v>159</v>
      </c>
      <c r="D9" s="1" t="s">
        <v>78</v>
      </c>
      <c r="E9" s="15" t="s">
        <v>170</v>
      </c>
      <c r="F9" s="27" t="s">
        <v>162</v>
      </c>
      <c r="G9" s="1" t="s">
        <v>81</v>
      </c>
      <c r="H9" s="1"/>
    </row>
    <row r="10" spans="1:8" ht="16" customHeight="1">
      <c r="A10" s="1">
        <f t="shared" si="0"/>
        <v>5</v>
      </c>
      <c r="B10" s="1" t="s">
        <v>158</v>
      </c>
      <c r="C10" s="15" t="s">
        <v>159</v>
      </c>
      <c r="D10" s="1" t="s">
        <v>171</v>
      </c>
      <c r="E10" s="1" t="s">
        <v>172</v>
      </c>
      <c r="F10" s="27" t="s">
        <v>162</v>
      </c>
      <c r="G10" s="1" t="s">
        <v>173</v>
      </c>
      <c r="H10" s="1"/>
    </row>
    <row r="11" spans="1:8" ht="32" customHeight="1">
      <c r="A11" s="1">
        <f t="shared" si="0"/>
        <v>6</v>
      </c>
      <c r="B11" s="1" t="s">
        <v>158</v>
      </c>
      <c r="C11" s="15" t="s">
        <v>159</v>
      </c>
      <c r="D11" s="1" t="s">
        <v>174</v>
      </c>
      <c r="E11" s="15" t="s">
        <v>175</v>
      </c>
      <c r="F11" s="27" t="s">
        <v>162</v>
      </c>
      <c r="G11" s="1" t="s">
        <v>176</v>
      </c>
      <c r="H11" s="1"/>
    </row>
    <row r="12" spans="1:8" ht="48" customHeight="1">
      <c r="A12" s="1">
        <f t="shared" si="0"/>
        <v>7</v>
      </c>
      <c r="B12" s="1" t="s">
        <v>158</v>
      </c>
      <c r="C12" s="15" t="s">
        <v>159</v>
      </c>
      <c r="D12" s="1" t="s">
        <v>177</v>
      </c>
      <c r="E12" s="15" t="s">
        <v>178</v>
      </c>
      <c r="F12" s="27"/>
      <c r="G12" s="1" t="s">
        <v>179</v>
      </c>
      <c r="H12" s="1"/>
    </row>
    <row r="13" spans="1:8" ht="16" customHeight="1">
      <c r="A13" s="1">
        <f t="shared" si="0"/>
        <v>8</v>
      </c>
      <c r="B13" s="1" t="s">
        <v>158</v>
      </c>
      <c r="C13" s="15" t="s">
        <v>159</v>
      </c>
      <c r="D13" s="1" t="s">
        <v>180</v>
      </c>
      <c r="E13" s="1" t="s">
        <v>181</v>
      </c>
      <c r="F13" s="4"/>
      <c r="G13" s="1"/>
      <c r="H13" s="1"/>
    </row>
    <row r="14" spans="1:8" ht="16" customHeight="1">
      <c r="A14" s="1">
        <f t="shared" si="0"/>
        <v>9</v>
      </c>
      <c r="B14" s="1" t="s">
        <v>158</v>
      </c>
      <c r="C14" s="15" t="s">
        <v>159</v>
      </c>
      <c r="D14" s="1" t="s">
        <v>182</v>
      </c>
      <c r="E14" s="1" t="s">
        <v>183</v>
      </c>
      <c r="F14" s="4"/>
      <c r="G14" s="1"/>
      <c r="H14" s="1"/>
    </row>
    <row r="15" spans="1:8" ht="16" customHeight="1">
      <c r="A15" s="1">
        <f t="shared" si="0"/>
        <v>10</v>
      </c>
      <c r="B15" s="1" t="s">
        <v>158</v>
      </c>
      <c r="C15" s="15" t="s">
        <v>159</v>
      </c>
      <c r="D15" s="1" t="s">
        <v>184</v>
      </c>
      <c r="E15" s="1" t="s">
        <v>185</v>
      </c>
      <c r="F15" s="4"/>
      <c r="G15" s="1" t="s">
        <v>186</v>
      </c>
      <c r="H15" s="1"/>
    </row>
    <row r="16" spans="1:8" ht="32" customHeight="1">
      <c r="A16" s="1">
        <f t="shared" si="0"/>
        <v>11</v>
      </c>
      <c r="B16" s="1" t="s">
        <v>158</v>
      </c>
      <c r="C16" s="15" t="s">
        <v>159</v>
      </c>
      <c r="D16" s="1" t="s">
        <v>187</v>
      </c>
      <c r="E16" s="15" t="s">
        <v>188</v>
      </c>
      <c r="F16" s="4"/>
      <c r="G16" s="1" t="s">
        <v>561</v>
      </c>
      <c r="H16" s="1"/>
    </row>
    <row r="17" spans="1:8" ht="48" customHeight="1">
      <c r="A17" s="1">
        <f t="shared" si="0"/>
        <v>12</v>
      </c>
      <c r="B17" s="1" t="s">
        <v>158</v>
      </c>
      <c r="C17" s="15" t="s">
        <v>159</v>
      </c>
      <c r="D17" s="1" t="s">
        <v>189</v>
      </c>
      <c r="E17" s="15" t="s">
        <v>190</v>
      </c>
      <c r="F17" s="4"/>
      <c r="G17" s="1" t="s">
        <v>191</v>
      </c>
      <c r="H17" s="1"/>
    </row>
    <row r="18" spans="1:8" ht="48" customHeight="1">
      <c r="A18" s="1">
        <f t="shared" si="0"/>
        <v>13</v>
      </c>
      <c r="B18" s="1" t="s">
        <v>158</v>
      </c>
      <c r="C18" s="15" t="s">
        <v>159</v>
      </c>
      <c r="D18" s="1" t="s">
        <v>192</v>
      </c>
      <c r="E18" s="15" t="s">
        <v>193</v>
      </c>
      <c r="F18" s="4"/>
      <c r="G18" s="1"/>
      <c r="H18" s="1"/>
    </row>
    <row r="19" spans="1:8" ht="48" customHeight="1">
      <c r="A19" s="1">
        <f t="shared" si="0"/>
        <v>14</v>
      </c>
      <c r="B19" s="1" t="s">
        <v>158</v>
      </c>
      <c r="C19" s="15" t="s">
        <v>159</v>
      </c>
      <c r="D19" s="1" t="s">
        <v>194</v>
      </c>
      <c r="E19" s="15" t="s">
        <v>195</v>
      </c>
      <c r="F19" s="4"/>
      <c r="G19" s="1"/>
      <c r="H19" s="1"/>
    </row>
    <row r="20" spans="1:8" ht="112" customHeight="1">
      <c r="A20" s="1">
        <f t="shared" si="0"/>
        <v>15</v>
      </c>
      <c r="B20" s="1" t="s">
        <v>196</v>
      </c>
      <c r="C20" s="15" t="s">
        <v>197</v>
      </c>
      <c r="D20" s="1" t="s">
        <v>198</v>
      </c>
      <c r="E20" s="15" t="s">
        <v>199</v>
      </c>
      <c r="F20" s="27"/>
      <c r="G20" s="2" t="s">
        <v>67</v>
      </c>
      <c r="H20" s="15"/>
    </row>
    <row r="21" spans="1:8" ht="32" customHeight="1">
      <c r="A21" s="1">
        <f t="shared" si="0"/>
        <v>16</v>
      </c>
      <c r="B21" s="1" t="s">
        <v>196</v>
      </c>
      <c r="C21" s="15" t="s">
        <v>197</v>
      </c>
      <c r="D21" s="1" t="s">
        <v>200</v>
      </c>
      <c r="E21" s="15" t="s">
        <v>201</v>
      </c>
      <c r="F21" s="4"/>
      <c r="G21" s="2" t="s">
        <v>68</v>
      </c>
      <c r="H21" s="15"/>
    </row>
    <row r="22" spans="1:8" ht="32" customHeight="1">
      <c r="A22" s="1">
        <f t="shared" si="0"/>
        <v>17</v>
      </c>
      <c r="B22" s="1" t="s">
        <v>196</v>
      </c>
      <c r="C22" s="15" t="s">
        <v>197</v>
      </c>
      <c r="D22" s="1" t="s">
        <v>202</v>
      </c>
      <c r="E22" s="15" t="s">
        <v>203</v>
      </c>
      <c r="F22" s="27"/>
      <c r="G22" s="2" t="s">
        <v>204</v>
      </c>
      <c r="H22" s="15"/>
    </row>
    <row r="23" spans="1:8" ht="32" customHeight="1">
      <c r="A23" s="1">
        <f t="shared" si="0"/>
        <v>18</v>
      </c>
      <c r="B23" s="1" t="s">
        <v>196</v>
      </c>
      <c r="C23" s="15" t="s">
        <v>197</v>
      </c>
      <c r="D23" s="1" t="s">
        <v>205</v>
      </c>
      <c r="E23" s="15" t="s">
        <v>206</v>
      </c>
      <c r="F23" s="27"/>
      <c r="G23" s="2" t="s">
        <v>207</v>
      </c>
      <c r="H23" s="15"/>
    </row>
    <row r="24" spans="1:8" ht="160" customHeight="1">
      <c r="A24" s="1">
        <f t="shared" si="0"/>
        <v>19</v>
      </c>
      <c r="B24" s="1" t="s">
        <v>208</v>
      </c>
      <c r="C24" s="15" t="s">
        <v>209</v>
      </c>
      <c r="D24" s="1" t="s">
        <v>198</v>
      </c>
      <c r="E24" s="15" t="s">
        <v>210</v>
      </c>
      <c r="F24" s="27"/>
      <c r="G24" s="1" t="s">
        <v>211</v>
      </c>
      <c r="H24" s="1"/>
    </row>
    <row r="25" spans="1:8" ht="32" customHeight="1">
      <c r="A25" s="1">
        <f t="shared" si="0"/>
        <v>20</v>
      </c>
      <c r="B25" s="1" t="s">
        <v>208</v>
      </c>
      <c r="C25" s="15" t="s">
        <v>209</v>
      </c>
      <c r="D25" s="1" t="s">
        <v>200</v>
      </c>
      <c r="E25" s="1" t="s">
        <v>212</v>
      </c>
      <c r="F25" s="4"/>
      <c r="G25" s="1" t="s">
        <v>42</v>
      </c>
      <c r="H25" s="1"/>
    </row>
    <row r="26" spans="1:8" ht="32" customHeight="1">
      <c r="A26" s="1">
        <f t="shared" si="0"/>
        <v>21</v>
      </c>
      <c r="B26" s="1" t="s">
        <v>208</v>
      </c>
      <c r="C26" s="15" t="s">
        <v>209</v>
      </c>
      <c r="D26" s="1" t="s">
        <v>213</v>
      </c>
      <c r="E26" s="15" t="s">
        <v>214</v>
      </c>
      <c r="F26" s="27"/>
      <c r="G26" s="1" t="s">
        <v>215</v>
      </c>
      <c r="H26" s="1"/>
    </row>
    <row r="27" spans="1:8" ht="80" customHeight="1">
      <c r="A27" s="1">
        <f t="shared" si="0"/>
        <v>22</v>
      </c>
      <c r="B27" s="1" t="s">
        <v>216</v>
      </c>
      <c r="C27" s="15" t="s">
        <v>217</v>
      </c>
      <c r="D27" s="1" t="s">
        <v>198</v>
      </c>
      <c r="E27" s="15" t="s">
        <v>218</v>
      </c>
      <c r="F27" s="27"/>
      <c r="G27" s="1" t="s">
        <v>71</v>
      </c>
      <c r="H27" s="1"/>
    </row>
    <row r="28" spans="1:8" ht="16" customHeight="1">
      <c r="A28" s="1">
        <f t="shared" si="0"/>
        <v>23</v>
      </c>
      <c r="B28" s="1" t="s">
        <v>216</v>
      </c>
      <c r="C28" s="15" t="s">
        <v>217</v>
      </c>
      <c r="D28" s="1" t="s">
        <v>200</v>
      </c>
      <c r="E28" s="1" t="s">
        <v>212</v>
      </c>
      <c r="F28" s="4"/>
      <c r="G28" s="1" t="s">
        <v>72</v>
      </c>
      <c r="H2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4"/>
  <sheetViews>
    <sheetView zoomScaleNormal="100" workbookViewId="0">
      <pane ySplit="7" topLeftCell="A31" activePane="bottomLeft" state="frozen"/>
      <selection pane="bottomLeft" activeCell="A33" sqref="A33:XFD33"/>
    </sheetView>
  </sheetViews>
  <sheetFormatPr baseColWidth="10" defaultColWidth="8.83203125" defaultRowHeight="15" outlineLevelCol="1"/>
  <cols>
    <col min="1" max="1" width="39.1640625" bestFit="1" customWidth="1"/>
    <col min="2" max="2" width="11.5" bestFit="1" customWidth="1"/>
    <col min="3" max="3" width="9.1640625" style="3" bestFit="1" customWidth="1"/>
    <col min="4" max="4" width="9.6640625" style="3" customWidth="1"/>
    <col min="5" max="5" width="18.83203125" style="3" customWidth="1"/>
    <col min="6" max="6" width="18.1640625" style="3" customWidth="1"/>
    <col min="7" max="7" width="12.83203125" style="3" customWidth="1"/>
    <col min="8" max="8" width="14.6640625" style="3" bestFit="1" customWidth="1"/>
    <col min="9" max="10" width="5.6640625" customWidth="1" outlineLevel="1"/>
    <col min="11" max="11" width="7.5" customWidth="1" outlineLevel="1"/>
    <col min="12" max="14" width="8" customWidth="1" outlineLevel="1"/>
    <col min="15" max="15" width="31.6640625" customWidth="1" outlineLevel="1"/>
    <col min="16" max="19" width="16.33203125" customWidth="1"/>
  </cols>
  <sheetData>
    <row r="1" spans="1:19">
      <c r="A1" s="7" t="s">
        <v>75</v>
      </c>
      <c r="B1" s="3"/>
    </row>
    <row r="2" spans="1:19" ht="16" customHeight="1">
      <c r="A2" s="7"/>
      <c r="B2" s="3"/>
      <c r="P2" s="71" t="s">
        <v>1</v>
      </c>
      <c r="Q2" s="71" t="s">
        <v>2</v>
      </c>
      <c r="R2" s="71" t="s">
        <v>3</v>
      </c>
      <c r="S2" s="71" t="s">
        <v>4</v>
      </c>
    </row>
    <row r="3" spans="1:19">
      <c r="A3" s="78" t="s">
        <v>219</v>
      </c>
      <c r="B3" s="3"/>
      <c r="P3" s="32" t="str">
        <f>IF('General Settings'!$G$11=0,"",'General Settings'!$G$11)</f>
        <v>en</v>
      </c>
      <c r="Q3" s="32" t="str">
        <f>IF('General Settings'!$G$12=0,"",'General Settings'!$G$12)</f>
        <v>ja</v>
      </c>
      <c r="R3" s="32" t="str">
        <f>IF('General Settings'!$G$13=0,"",'General Settings'!$G$13)</f>
        <v/>
      </c>
      <c r="S3" s="32" t="str">
        <f>IF('General Settings'!$G$14=0,"",'General Settings'!$G$14)</f>
        <v/>
      </c>
    </row>
    <row r="4" spans="1:19">
      <c r="A4" s="7"/>
      <c r="B4" s="3"/>
    </row>
    <row r="5" spans="1:19" ht="32" customHeight="1">
      <c r="A5" s="7"/>
      <c r="B5" s="28" t="s">
        <v>220</v>
      </c>
      <c r="C5" s="130" t="s">
        <v>221</v>
      </c>
      <c r="D5" s="131"/>
      <c r="E5" s="131"/>
      <c r="F5" s="131"/>
      <c r="G5" s="131"/>
      <c r="H5" s="131"/>
      <c r="I5" s="128" t="s">
        <v>222</v>
      </c>
      <c r="J5" s="129"/>
      <c r="K5" s="129"/>
      <c r="L5" s="129"/>
      <c r="M5" s="30" t="s">
        <v>223</v>
      </c>
      <c r="N5" s="50" t="s">
        <v>224</v>
      </c>
      <c r="O5" s="56" t="s">
        <v>36</v>
      </c>
      <c r="P5" s="130" t="s">
        <v>221</v>
      </c>
      <c r="Q5" s="129"/>
      <c r="R5" s="129"/>
      <c r="S5" s="129"/>
    </row>
    <row r="6" spans="1:19">
      <c r="B6" s="20" t="s">
        <v>156</v>
      </c>
      <c r="C6" s="26" t="s">
        <v>225</v>
      </c>
      <c r="D6" s="26" t="s">
        <v>156</v>
      </c>
      <c r="E6" s="22" t="s">
        <v>156</v>
      </c>
      <c r="F6" s="26" t="s">
        <v>156</v>
      </c>
      <c r="G6" s="22" t="s">
        <v>225</v>
      </c>
      <c r="H6" s="22" t="s">
        <v>225</v>
      </c>
      <c r="I6" s="24" t="s">
        <v>225</v>
      </c>
      <c r="J6" s="24" t="s">
        <v>225</v>
      </c>
      <c r="K6" s="24" t="s">
        <v>225</v>
      </c>
      <c r="L6" s="24" t="s">
        <v>225</v>
      </c>
      <c r="M6" s="31" t="s">
        <v>156</v>
      </c>
      <c r="N6" s="49" t="s">
        <v>225</v>
      </c>
      <c r="O6" s="21" t="s">
        <v>225</v>
      </c>
      <c r="P6" s="22" t="s">
        <v>225</v>
      </c>
      <c r="Q6" s="22" t="s">
        <v>225</v>
      </c>
      <c r="R6" s="22" t="s">
        <v>225</v>
      </c>
      <c r="S6" s="22" t="s">
        <v>225</v>
      </c>
    </row>
    <row r="7" spans="1:19" ht="48" customHeight="1">
      <c r="A7" s="4" t="s">
        <v>212</v>
      </c>
      <c r="B7" s="4" t="s">
        <v>77</v>
      </c>
      <c r="C7" s="5" t="s">
        <v>226</v>
      </c>
      <c r="D7" s="5" t="s">
        <v>227</v>
      </c>
      <c r="E7" s="5" t="s">
        <v>228</v>
      </c>
      <c r="F7" s="69" t="s">
        <v>110</v>
      </c>
      <c r="G7" s="5" t="s">
        <v>229</v>
      </c>
      <c r="H7" s="5" t="s">
        <v>230</v>
      </c>
      <c r="I7" s="5" t="s">
        <v>231</v>
      </c>
      <c r="J7" s="5" t="s">
        <v>232</v>
      </c>
      <c r="K7" s="5" t="s">
        <v>233</v>
      </c>
      <c r="L7" s="5" t="s">
        <v>234</v>
      </c>
      <c r="M7" s="5" t="s">
        <v>235</v>
      </c>
      <c r="N7" s="5" t="s">
        <v>236</v>
      </c>
      <c r="O7" s="5" t="s">
        <v>36</v>
      </c>
      <c r="P7" s="5" t="s">
        <v>237</v>
      </c>
      <c r="Q7" s="5" t="s">
        <v>238</v>
      </c>
      <c r="R7" s="5" t="s">
        <v>239</v>
      </c>
      <c r="S7" s="5" t="s">
        <v>240</v>
      </c>
    </row>
    <row r="8" spans="1:19">
      <c r="A8" s="6" t="s">
        <v>68</v>
      </c>
      <c r="B8" s="2" t="s">
        <v>108</v>
      </c>
      <c r="C8" s="2"/>
      <c r="D8" s="2"/>
      <c r="E8" s="2"/>
      <c r="F8" s="1" t="str">
        <f>IF(Table2[[#This Row],[Data Pattern (display name)]]="", "", VLOOKUP(Table2[[#This Row],[Data Pattern (display name)]],'dataType Data Pattern List'!A:B,2,FALSE))</f>
        <v/>
      </c>
      <c r="G8" s="5"/>
      <c r="H8" s="23"/>
      <c r="I8" s="2"/>
      <c r="J8" s="2"/>
      <c r="K8" s="2"/>
      <c r="L8" s="2"/>
      <c r="M8" s="2"/>
      <c r="N8" s="23"/>
      <c r="O8" s="23"/>
      <c r="P8" s="23"/>
      <c r="Q8" s="23"/>
      <c r="R8" s="23"/>
      <c r="S8" s="23"/>
    </row>
    <row r="9" spans="1:19">
      <c r="A9" s="6" t="s">
        <v>72</v>
      </c>
      <c r="B9" s="2" t="s">
        <v>87</v>
      </c>
      <c r="C9" s="2"/>
      <c r="D9" s="2"/>
      <c r="E9" s="2"/>
      <c r="F9" s="1" t="str">
        <f>IF(Table2[[#This Row],[Data Pattern (display name)]]="", "", VLOOKUP(Table2[[#This Row],[Data Pattern (display name)]],'dataType Data Pattern List'!A:B,2,FALSE))</f>
        <v/>
      </c>
      <c r="G9" s="5"/>
      <c r="H9" s="23"/>
      <c r="I9" s="2"/>
      <c r="J9" s="2"/>
      <c r="K9" s="2"/>
      <c r="L9" s="2"/>
      <c r="M9" s="2"/>
      <c r="N9" s="15"/>
      <c r="O9" s="15"/>
      <c r="P9" s="23"/>
      <c r="Q9" s="23"/>
      <c r="R9" s="23"/>
      <c r="S9" s="23"/>
    </row>
    <row r="10" spans="1:19">
      <c r="A10" s="6" t="s">
        <v>42</v>
      </c>
      <c r="B10" s="2" t="s">
        <v>87</v>
      </c>
      <c r="C10" s="2"/>
      <c r="D10" s="2"/>
      <c r="E10" s="2"/>
      <c r="F10" s="1" t="str">
        <f>IF(Table2[[#This Row],[Data Pattern (display name)]]="", "", VLOOKUP(Table2[[#This Row],[Data Pattern (display name)]],'dataType Data Pattern List'!A:B,2,FALSE))</f>
        <v/>
      </c>
      <c r="G10" s="5"/>
      <c r="H10" s="23"/>
      <c r="I10" s="2"/>
      <c r="J10" s="2"/>
      <c r="K10" s="2"/>
      <c r="L10" s="2"/>
      <c r="M10" s="2"/>
      <c r="N10" s="15"/>
      <c r="O10" s="15"/>
      <c r="P10" s="23"/>
      <c r="Q10" s="23"/>
      <c r="R10" s="23"/>
      <c r="S10" s="23"/>
    </row>
    <row r="11" spans="1:19">
      <c r="A11" s="6" t="s">
        <v>52</v>
      </c>
      <c r="B11" s="2" t="s">
        <v>103</v>
      </c>
      <c r="C11" s="2"/>
      <c r="D11" s="2"/>
      <c r="E11" s="2"/>
      <c r="F11" s="1" t="str">
        <f>IF(Table2[[#This Row],[Data Pattern (display name)]]="", "", VLOOKUP(Table2[[#This Row],[Data Pattern (display name)]],'dataType Data Pattern List'!A:B,2,FALSE))</f>
        <v/>
      </c>
      <c r="G11" s="5"/>
      <c r="H11" s="23"/>
      <c r="I11" s="2"/>
      <c r="J11" s="2"/>
      <c r="K11" s="2"/>
      <c r="L11" s="2"/>
      <c r="M11" s="2"/>
      <c r="N11" s="15"/>
      <c r="O11" s="15"/>
      <c r="P11" s="23"/>
      <c r="Q11" s="23"/>
      <c r="R11" s="23"/>
      <c r="S11" s="23"/>
    </row>
    <row r="12" spans="1:19">
      <c r="A12" s="6" t="s">
        <v>241</v>
      </c>
      <c r="B12" s="2" t="s">
        <v>80</v>
      </c>
      <c r="C12" s="2" t="s">
        <v>242</v>
      </c>
      <c r="D12" s="2" t="s">
        <v>243</v>
      </c>
      <c r="E12" s="2" t="s">
        <v>84</v>
      </c>
      <c r="F12" s="1" t="str">
        <f>IF(Table2[[#This Row],[Data Pattern (display name)]]="", "", VLOOKUP(Table2[[#This Row],[Data Pattern (display name)]],'dataType Data Pattern List'!A:B,2,FALSE))</f>
        <v>REG_EX_HAN</v>
      </c>
      <c r="G12" s="47"/>
      <c r="H12" s="23"/>
      <c r="I12" s="2"/>
      <c r="J12" s="2"/>
      <c r="K12" s="2"/>
      <c r="L12" s="2"/>
      <c r="M12" s="2"/>
      <c r="N12" s="15"/>
      <c r="O12" s="15"/>
      <c r="P12" s="23"/>
      <c r="Q12" s="23"/>
      <c r="R12" s="23"/>
      <c r="S12" s="23"/>
    </row>
    <row r="13" spans="1:19" ht="48" customHeight="1">
      <c r="A13" s="2" t="s">
        <v>244</v>
      </c>
      <c r="B13" s="2" t="s">
        <v>80</v>
      </c>
      <c r="C13" s="2" t="s">
        <v>242</v>
      </c>
      <c r="D13" s="2" t="s">
        <v>245</v>
      </c>
      <c r="E13" s="2" t="s">
        <v>79</v>
      </c>
      <c r="F13" s="1" t="str">
        <f>IF(Table2[[#This Row],[Data Pattern (display name)]]="", "", VLOOKUP(Table2[[#This Row],[Data Pattern (display name)]],'dataType Data Pattern List'!A:B,2,FALSE))</f>
        <v>REG_EX_ALL</v>
      </c>
      <c r="G13" s="57" t="s">
        <v>48</v>
      </c>
      <c r="H13" s="23" t="s">
        <v>246</v>
      </c>
      <c r="I13" s="2"/>
      <c r="J13" s="2"/>
      <c r="K13" s="2"/>
      <c r="L13" s="2"/>
      <c r="M13" s="2"/>
      <c r="N13" s="15"/>
      <c r="O13" s="15"/>
      <c r="P13" s="23" t="s">
        <v>247</v>
      </c>
      <c r="Q13" s="23" t="s">
        <v>248</v>
      </c>
      <c r="R13" s="23"/>
      <c r="S13" s="23"/>
    </row>
    <row r="14" spans="1:19" ht="48" customHeight="1">
      <c r="A14" s="6" t="s">
        <v>47</v>
      </c>
      <c r="B14" s="2" t="s">
        <v>80</v>
      </c>
      <c r="C14" s="2" t="s">
        <v>242</v>
      </c>
      <c r="D14" s="2" t="s">
        <v>249</v>
      </c>
      <c r="E14" s="2" t="s">
        <v>79</v>
      </c>
      <c r="F14" s="1" t="str">
        <f>IF(Table2[[#This Row],[Data Pattern (display name)]]="", "", VLOOKUP(Table2[[#This Row],[Data Pattern (display name)]],'dataType Data Pattern List'!A:B,2,FALSE))</f>
        <v>REG_EX_ALL</v>
      </c>
      <c r="G14" s="57"/>
      <c r="H14" s="23" t="s">
        <v>250</v>
      </c>
      <c r="I14" s="2"/>
      <c r="J14" s="2"/>
      <c r="K14" s="2"/>
      <c r="L14" s="2"/>
      <c r="M14" s="2"/>
      <c r="N14" s="15"/>
      <c r="O14" s="15"/>
      <c r="P14" s="23" t="s">
        <v>251</v>
      </c>
      <c r="Q14" s="23" t="s">
        <v>252</v>
      </c>
      <c r="R14" s="23"/>
      <c r="S14" s="23"/>
    </row>
    <row r="15" spans="1:19">
      <c r="A15" s="42" t="s">
        <v>253</v>
      </c>
      <c r="B15" s="2" t="s">
        <v>80</v>
      </c>
      <c r="C15" s="2" t="s">
        <v>254</v>
      </c>
      <c r="D15" s="2" t="s">
        <v>254</v>
      </c>
      <c r="E15" s="2" t="s">
        <v>79</v>
      </c>
      <c r="F15" s="1" t="str">
        <f>IF(Table2[[#This Row],[Data Pattern (display name)]]="", "", VLOOKUP(Table2[[#This Row],[Data Pattern (display name)]],'dataType Data Pattern List'!A:B,2,FALSE))</f>
        <v>REG_EX_ALL</v>
      </c>
      <c r="G15" s="57" t="s">
        <v>48</v>
      </c>
      <c r="H15" s="23"/>
      <c r="I15" s="2"/>
      <c r="J15" s="2"/>
      <c r="K15" s="2"/>
      <c r="L15" s="2"/>
      <c r="M15" s="2"/>
      <c r="N15" s="15"/>
      <c r="O15" s="15"/>
      <c r="P15" s="23"/>
      <c r="Q15" s="23"/>
      <c r="R15" s="23"/>
      <c r="S15" s="23"/>
    </row>
    <row r="16" spans="1:19">
      <c r="A16" s="6" t="s">
        <v>255</v>
      </c>
      <c r="B16" s="2" t="s">
        <v>80</v>
      </c>
      <c r="C16" s="2" t="s">
        <v>242</v>
      </c>
      <c r="D16" s="2" t="s">
        <v>256</v>
      </c>
      <c r="E16" s="2" t="s">
        <v>79</v>
      </c>
      <c r="F16" s="1" t="str">
        <f>IF(Table2[[#This Row],[Data Pattern (display name)]]="", "", VLOOKUP(Table2[[#This Row],[Data Pattern (display name)]],'dataType Data Pattern List'!A:B,2,FALSE))</f>
        <v>REG_EX_ALL</v>
      </c>
      <c r="G16" s="57"/>
      <c r="H16" s="23"/>
      <c r="I16" s="2"/>
      <c r="J16" s="2"/>
      <c r="K16" s="2"/>
      <c r="L16" s="2"/>
      <c r="M16" s="2"/>
      <c r="N16" s="15"/>
      <c r="O16" s="15"/>
      <c r="P16" s="23"/>
      <c r="Q16" s="23"/>
      <c r="R16" s="23"/>
      <c r="S16" s="23"/>
    </row>
    <row r="17" spans="1:19">
      <c r="A17" s="6" t="s">
        <v>257</v>
      </c>
      <c r="B17" s="2" t="s">
        <v>107</v>
      </c>
      <c r="C17" s="2"/>
      <c r="D17" s="2"/>
      <c r="E17" s="2"/>
      <c r="F17" s="1" t="str">
        <f>IF(Table2[[#This Row],[Data Pattern (display name)]]="", "", VLOOKUP(Table2[[#This Row],[Data Pattern (display name)]],'dataType Data Pattern List'!A:B,2,FALSE))</f>
        <v/>
      </c>
      <c r="G17" s="57"/>
      <c r="H17" s="23"/>
      <c r="I17" s="2"/>
      <c r="J17" s="2"/>
      <c r="K17" s="2"/>
      <c r="L17" s="2"/>
      <c r="M17">
        <v>2</v>
      </c>
      <c r="N17" s="15"/>
      <c r="O17" s="15"/>
      <c r="P17" s="23"/>
      <c r="Q17" s="23"/>
      <c r="R17" s="23"/>
      <c r="S17" s="23"/>
    </row>
    <row r="18" spans="1:19" ht="48" customHeight="1">
      <c r="A18" s="42" t="s">
        <v>258</v>
      </c>
      <c r="B18" s="2" t="s">
        <v>80</v>
      </c>
      <c r="C18" s="2" t="s">
        <v>259</v>
      </c>
      <c r="D18" s="2" t="s">
        <v>243</v>
      </c>
      <c r="E18" s="2" t="s">
        <v>79</v>
      </c>
      <c r="F18" s="1" t="str">
        <f>IF(Table2[[#This Row],[Data Pattern (display name)]]="", "", VLOOKUP(Table2[[#This Row],[Data Pattern (display name)]],'dataType Data Pattern List'!A:B,2,FALSE))</f>
        <v>REG_EX_ALL</v>
      </c>
      <c r="G18" s="57" t="s">
        <v>48</v>
      </c>
      <c r="H18" s="23" t="s">
        <v>250</v>
      </c>
      <c r="I18" s="2"/>
      <c r="J18" s="2"/>
      <c r="K18" s="2"/>
      <c r="L18" s="2"/>
      <c r="M18" s="2"/>
      <c r="N18" s="15"/>
      <c r="O18" s="15"/>
      <c r="P18" s="23" t="s">
        <v>251</v>
      </c>
      <c r="Q18" s="23" t="s">
        <v>252</v>
      </c>
      <c r="R18" s="23"/>
      <c r="S18" s="23"/>
    </row>
    <row r="19" spans="1:19">
      <c r="A19" s="42" t="s">
        <v>260</v>
      </c>
      <c r="B19" s="2" t="s">
        <v>80</v>
      </c>
      <c r="C19" s="2" t="s">
        <v>242</v>
      </c>
      <c r="D19" s="2" t="s">
        <v>249</v>
      </c>
      <c r="E19" s="2" t="s">
        <v>84</v>
      </c>
      <c r="F19" s="1" t="str">
        <f>IF(Table2[[#This Row],[Data Pattern (display name)]]="", "", VLOOKUP(Table2[[#This Row],[Data Pattern (display name)]],'dataType Data Pattern List'!A:B,2,FALSE))</f>
        <v>REG_EX_HAN</v>
      </c>
      <c r="G19" s="57" t="s">
        <v>48</v>
      </c>
      <c r="H19" s="23"/>
      <c r="I19" s="2"/>
      <c r="J19" s="2"/>
      <c r="K19" s="2"/>
      <c r="L19" s="2"/>
      <c r="M19" s="2"/>
      <c r="N19" s="15"/>
      <c r="O19" s="15"/>
      <c r="P19" s="23"/>
      <c r="Q19" s="23"/>
      <c r="R19" s="23"/>
      <c r="S19" s="23"/>
    </row>
    <row r="20" spans="1:19">
      <c r="A20" s="42" t="s">
        <v>261</v>
      </c>
      <c r="B20" s="2" t="s">
        <v>80</v>
      </c>
      <c r="C20" s="2"/>
      <c r="D20" s="2" t="s">
        <v>243</v>
      </c>
      <c r="E20" s="2" t="s">
        <v>84</v>
      </c>
      <c r="F20" s="1" t="str">
        <f>IF(Table2[[#This Row],[Data Pattern (display name)]]="", "", VLOOKUP(Table2[[#This Row],[Data Pattern (display name)]],'dataType Data Pattern List'!A:B,2,FALSE))</f>
        <v>REG_EX_HAN</v>
      </c>
      <c r="G20" s="57" t="s">
        <v>48</v>
      </c>
      <c r="H20" s="23"/>
      <c r="I20" s="2"/>
      <c r="J20" s="2"/>
      <c r="K20" s="2"/>
      <c r="L20" s="2"/>
      <c r="M20" s="2"/>
      <c r="N20" s="15"/>
      <c r="O20" s="15"/>
      <c r="P20" s="23"/>
      <c r="Q20" s="23"/>
      <c r="R20" s="23"/>
      <c r="S20" s="23"/>
    </row>
    <row r="21" spans="1:19">
      <c r="A21" t="s">
        <v>262</v>
      </c>
      <c r="B21" s="2" t="s">
        <v>80</v>
      </c>
      <c r="C21" s="2" t="s">
        <v>263</v>
      </c>
      <c r="D21" s="2" t="s">
        <v>264</v>
      </c>
      <c r="E21" s="2" t="s">
        <v>84</v>
      </c>
      <c r="F21" s="1" t="str">
        <f>IF(Table2[[#This Row],[Data Pattern (display name)]]="", "", VLOOKUP(Table2[[#This Row],[Data Pattern (display name)]],'dataType Data Pattern List'!A:B,2,FALSE))</f>
        <v>REG_EX_HAN</v>
      </c>
      <c r="G21" s="57"/>
      <c r="H21" s="23"/>
      <c r="I21" s="2"/>
      <c r="J21" s="2"/>
      <c r="K21" s="2"/>
      <c r="L21" s="2"/>
      <c r="M21" s="2"/>
      <c r="N21" s="15"/>
      <c r="O21" s="15"/>
      <c r="P21" s="23"/>
      <c r="Q21" s="23"/>
      <c r="R21" s="23"/>
      <c r="S21" s="23"/>
    </row>
    <row r="22" spans="1:19" ht="48" customHeight="1">
      <c r="A22" s="42" t="s">
        <v>265</v>
      </c>
      <c r="B22" s="2" t="s">
        <v>80</v>
      </c>
      <c r="C22" s="2" t="s">
        <v>242</v>
      </c>
      <c r="D22" s="2" t="s">
        <v>249</v>
      </c>
      <c r="E22" s="2" t="s">
        <v>79</v>
      </c>
      <c r="F22" s="1" t="str">
        <f>IF(Table2[[#This Row],[Data Pattern (display name)]]="", "", VLOOKUP(Table2[[#This Row],[Data Pattern (display name)]],'dataType Data Pattern List'!A:B,2,FALSE))</f>
        <v>REG_EX_ALL</v>
      </c>
      <c r="G22" s="57" t="s">
        <v>48</v>
      </c>
      <c r="H22" s="23" t="s">
        <v>250</v>
      </c>
      <c r="I22" s="2"/>
      <c r="J22" s="2"/>
      <c r="K22" s="2"/>
      <c r="L22" s="2"/>
      <c r="M22" s="2"/>
      <c r="N22" s="15"/>
      <c r="O22" s="15"/>
      <c r="P22" s="23" t="s">
        <v>251</v>
      </c>
      <c r="Q22" s="23" t="s">
        <v>252</v>
      </c>
      <c r="R22" s="23"/>
      <c r="S22" s="23"/>
    </row>
    <row r="23" spans="1:19" ht="48" customHeight="1">
      <c r="A23" t="s">
        <v>266</v>
      </c>
      <c r="B23" s="2" t="s">
        <v>80</v>
      </c>
      <c r="C23" s="2" t="s">
        <v>242</v>
      </c>
      <c r="D23" s="2" t="s">
        <v>249</v>
      </c>
      <c r="E23" s="2" t="s">
        <v>79</v>
      </c>
      <c r="F23" s="1" t="str">
        <f>IF(Table2[[#This Row],[Data Pattern (display name)]]="", "", VLOOKUP(Table2[[#This Row],[Data Pattern (display name)]],'dataType Data Pattern List'!A:B,2,FALSE))</f>
        <v>REG_EX_ALL</v>
      </c>
      <c r="G23" s="57" t="s">
        <v>48</v>
      </c>
      <c r="H23" s="23" t="s">
        <v>250</v>
      </c>
      <c r="I23" s="2"/>
      <c r="J23" s="2"/>
      <c r="K23" s="2"/>
      <c r="L23" s="2"/>
      <c r="M23" s="2"/>
      <c r="N23" s="15"/>
      <c r="O23" s="15"/>
      <c r="P23" s="23" t="s">
        <v>251</v>
      </c>
      <c r="Q23" s="23" t="s">
        <v>252</v>
      </c>
      <c r="R23" s="23"/>
      <c r="S23" s="23"/>
    </row>
    <row r="24" spans="1:19">
      <c r="A24" t="s">
        <v>267</v>
      </c>
      <c r="B24" t="s">
        <v>107</v>
      </c>
      <c r="C24" s="2"/>
      <c r="D24" s="2"/>
      <c r="E24" s="2"/>
      <c r="F24" s="1" t="str">
        <f>IF(Table2[[#This Row],[Data Pattern (display name)]]="", "", VLOOKUP(Table2[[#This Row],[Data Pattern (display name)]],'dataType Data Pattern List'!A:B,2,FALSE))</f>
        <v/>
      </c>
      <c r="G24" s="57"/>
      <c r="H24" s="23"/>
      <c r="I24" s="2"/>
      <c r="J24" s="2"/>
      <c r="K24" s="2"/>
      <c r="L24" s="2"/>
      <c r="M24">
        <v>1</v>
      </c>
      <c r="N24" s="15"/>
      <c r="O24" s="15"/>
      <c r="P24" s="23"/>
      <c r="Q24" s="23"/>
      <c r="R24" s="23"/>
      <c r="S24" s="23"/>
    </row>
    <row r="25" spans="1:19" ht="64" customHeight="1">
      <c r="A25" t="s">
        <v>268</v>
      </c>
      <c r="B25" s="2" t="s">
        <v>80</v>
      </c>
      <c r="C25" s="2" t="s">
        <v>242</v>
      </c>
      <c r="D25" s="2" t="s">
        <v>243</v>
      </c>
      <c r="E25" s="2" t="s">
        <v>84</v>
      </c>
      <c r="F25" s="1" t="str">
        <f>IF(Table2[[#This Row],[Data Pattern (display name)]]="", "", VLOOKUP(Table2[[#This Row],[Data Pattern (display name)]],'dataType Data Pattern List'!A:B,2,FALSE))</f>
        <v>REG_EX_HAN</v>
      </c>
      <c r="G25" s="57" t="s">
        <v>48</v>
      </c>
      <c r="H25" s="23" t="s">
        <v>269</v>
      </c>
      <c r="I25" s="2"/>
      <c r="J25" s="2"/>
      <c r="K25" s="2"/>
      <c r="L25" s="2"/>
      <c r="M25" s="2"/>
      <c r="N25" s="15"/>
      <c r="O25" s="15"/>
      <c r="P25" s="23" t="s">
        <v>539</v>
      </c>
      <c r="Q25" s="23" t="s">
        <v>270</v>
      </c>
      <c r="R25" s="23"/>
      <c r="S25" s="23"/>
    </row>
    <row r="26" spans="1:19">
      <c r="A26" s="42" t="s">
        <v>271</v>
      </c>
      <c r="B26" s="2" t="s">
        <v>80</v>
      </c>
      <c r="C26" s="2" t="s">
        <v>272</v>
      </c>
      <c r="D26" s="2" t="s">
        <v>273</v>
      </c>
      <c r="E26" s="2" t="s">
        <v>84</v>
      </c>
      <c r="F26" s="1" t="str">
        <f>IF(Table2[[#This Row],[Data Pattern (display name)]]="", "", VLOOKUP(Table2[[#This Row],[Data Pattern (display name)]],'dataType Data Pattern List'!A:B,2,FALSE))</f>
        <v>REG_EX_HAN</v>
      </c>
      <c r="G26" s="57" t="s">
        <v>48</v>
      </c>
      <c r="H26" s="23"/>
      <c r="I26" s="2"/>
      <c r="J26" s="2"/>
      <c r="K26" s="2"/>
      <c r="L26" s="2"/>
      <c r="M26" s="2"/>
      <c r="N26" s="15"/>
      <c r="O26" s="15"/>
      <c r="P26" s="23"/>
      <c r="Q26" s="23"/>
      <c r="R26" s="23"/>
      <c r="S26" s="23"/>
    </row>
    <row r="27" spans="1:19">
      <c r="A27" s="6" t="s">
        <v>274</v>
      </c>
      <c r="B27" s="2" t="s">
        <v>83</v>
      </c>
      <c r="C27" s="2"/>
      <c r="D27" s="2"/>
      <c r="E27" s="2"/>
      <c r="F27" s="1" t="str">
        <f>IF(Table2[[#This Row],[Data Pattern (display name)]]="", "", VLOOKUP(Table2[[#This Row],[Data Pattern (display name)]],'dataType Data Pattern List'!A:B,2,FALSE))</f>
        <v/>
      </c>
      <c r="G27" s="5"/>
      <c r="H27" s="23"/>
      <c r="I27" s="2"/>
      <c r="J27" s="2"/>
      <c r="K27" s="2"/>
      <c r="L27" s="2"/>
      <c r="M27" s="2"/>
      <c r="N27" s="15"/>
      <c r="O27" s="15"/>
      <c r="P27" s="23"/>
      <c r="Q27" s="23"/>
      <c r="R27" s="23"/>
      <c r="S27" s="23"/>
    </row>
    <row r="28" spans="1:19">
      <c r="A28" s="6" t="s">
        <v>275</v>
      </c>
      <c r="B28" t="s">
        <v>107</v>
      </c>
      <c r="C28" s="2"/>
      <c r="D28" s="2"/>
      <c r="E28" s="2"/>
      <c r="F28" s="1" t="str">
        <f>IF(Table2[[#This Row],[Data Pattern (display name)]]="", "", VLOOKUP(Table2[[#This Row],[Data Pattern (display name)]],'dataType Data Pattern List'!A:B,2,FALSE))</f>
        <v/>
      </c>
      <c r="G28" s="5"/>
      <c r="H28" s="23"/>
      <c r="I28" s="2"/>
      <c r="J28" s="2"/>
      <c r="K28" s="2"/>
      <c r="L28" s="2"/>
      <c r="M28">
        <v>1</v>
      </c>
      <c r="N28" s="15"/>
      <c r="O28" s="15"/>
      <c r="P28" s="23"/>
      <c r="Q28" s="23"/>
      <c r="R28" s="23"/>
      <c r="S28" s="23"/>
    </row>
    <row r="29" spans="1:19">
      <c r="A29" s="42" t="s">
        <v>276</v>
      </c>
      <c r="B29" t="s">
        <v>107</v>
      </c>
      <c r="C29" s="2"/>
      <c r="D29" s="2"/>
      <c r="E29" s="2"/>
      <c r="F29" s="1" t="str">
        <f>IF(Table2[[#This Row],[Data Pattern (display name)]]="", "", VLOOKUP(Table2[[#This Row],[Data Pattern (display name)]],'dataType Data Pattern List'!A:B,2,FALSE))</f>
        <v/>
      </c>
      <c r="G29" s="58"/>
      <c r="H29" s="23"/>
      <c r="I29" s="2"/>
      <c r="J29" s="2"/>
      <c r="K29" s="2"/>
      <c r="L29" s="2"/>
      <c r="M29">
        <v>1</v>
      </c>
      <c r="N29" s="15"/>
      <c r="O29" s="15"/>
      <c r="P29" s="23"/>
      <c r="Q29" s="23"/>
      <c r="R29" s="23"/>
      <c r="S29" s="23"/>
    </row>
    <row r="30" spans="1:19">
      <c r="A30" s="42" t="s">
        <v>277</v>
      </c>
      <c r="B30" s="2" t="s">
        <v>83</v>
      </c>
      <c r="C30" s="2"/>
      <c r="D30" s="2"/>
      <c r="E30" s="2"/>
      <c r="F30" s="1" t="str">
        <f>IF(Table2[[#This Row],[Data Pattern (display name)]]="", "", VLOOKUP(Table2[[#This Row],[Data Pattern (display name)]],'dataType Data Pattern List'!A:B,2,FALSE))</f>
        <v/>
      </c>
      <c r="G30" s="58"/>
      <c r="H30" s="23"/>
      <c r="I30" s="2"/>
      <c r="J30" s="2"/>
      <c r="K30" s="2"/>
      <c r="L30" s="2"/>
      <c r="M30" s="2"/>
      <c r="N30" s="15"/>
      <c r="O30" s="15"/>
      <c r="P30" s="23"/>
      <c r="Q30" s="23"/>
      <c r="R30" s="23"/>
      <c r="S30" s="23"/>
    </row>
    <row r="31" spans="1:19" ht="64" customHeight="1">
      <c r="A31" s="42" t="s">
        <v>278</v>
      </c>
      <c r="B31" s="2" t="s">
        <v>80</v>
      </c>
      <c r="C31" s="2" t="s">
        <v>242</v>
      </c>
      <c r="D31" s="2" t="s">
        <v>243</v>
      </c>
      <c r="E31" s="2" t="s">
        <v>84</v>
      </c>
      <c r="F31" s="1" t="str">
        <f>IF(Table2[[#This Row],[Data Pattern (display name)]]="", "", VLOOKUP(Table2[[#This Row],[Data Pattern (display name)]],'dataType Data Pattern List'!A:B,2,FALSE))</f>
        <v>REG_EX_HAN</v>
      </c>
      <c r="G31" s="57" t="s">
        <v>48</v>
      </c>
      <c r="H31" s="23" t="s">
        <v>279</v>
      </c>
      <c r="I31" s="2"/>
      <c r="J31" s="2"/>
      <c r="K31" s="2"/>
      <c r="L31" s="2"/>
      <c r="M31" s="2"/>
      <c r="N31" s="15"/>
      <c r="O31" s="15"/>
      <c r="P31" s="23" t="s">
        <v>540</v>
      </c>
      <c r="Q31" s="23" t="s">
        <v>280</v>
      </c>
      <c r="R31" s="23"/>
      <c r="S31" s="23"/>
    </row>
    <row r="32" spans="1:19" ht="32" customHeight="1">
      <c r="A32" s="6" t="s">
        <v>281</v>
      </c>
      <c r="B32" s="2" t="s">
        <v>80</v>
      </c>
      <c r="C32" s="2" t="s">
        <v>242</v>
      </c>
      <c r="D32" s="2" t="s">
        <v>256</v>
      </c>
      <c r="E32" s="2" t="s">
        <v>79</v>
      </c>
      <c r="F32" s="1" t="str">
        <f>IF(Table2[[#This Row],[Data Pattern (display name)]]="", "", VLOOKUP(Table2[[#This Row],[Data Pattern (display name)]],'dataType Data Pattern List'!A:B,2,FALSE))</f>
        <v>REG_EX_ALL</v>
      </c>
      <c r="G32" s="57" t="s">
        <v>48</v>
      </c>
      <c r="H32" s="23" t="s">
        <v>282</v>
      </c>
      <c r="I32" s="2"/>
      <c r="J32" s="2"/>
      <c r="K32" s="2"/>
      <c r="L32" s="2"/>
      <c r="M32" s="2"/>
      <c r="N32" s="15"/>
      <c r="O32" s="15"/>
      <c r="P32" s="23" t="s">
        <v>283</v>
      </c>
      <c r="Q32" s="23" t="s">
        <v>284</v>
      </c>
      <c r="R32" s="23"/>
      <c r="S32" s="23"/>
    </row>
    <row r="33" spans="1:19" ht="48" customHeight="1">
      <c r="A33" s="6" t="s">
        <v>286</v>
      </c>
      <c r="B33" s="2" t="s">
        <v>80</v>
      </c>
      <c r="C33" s="2" t="s">
        <v>242</v>
      </c>
      <c r="D33" s="2" t="s">
        <v>243</v>
      </c>
      <c r="E33" s="2" t="s">
        <v>79</v>
      </c>
      <c r="F33" s="1" t="str">
        <f>IF(Table2[[#This Row],[Data Pattern (display name)]]="", "", VLOOKUP(Table2[[#This Row],[Data Pattern (display name)]],'dataType Data Pattern List'!A:B,2,FALSE))</f>
        <v>REG_EX_ALL</v>
      </c>
      <c r="G33" s="1"/>
      <c r="H33" s="23" t="s">
        <v>250</v>
      </c>
      <c r="I33" s="2"/>
      <c r="J33" s="2"/>
      <c r="K33" s="2"/>
      <c r="L33" s="2"/>
      <c r="M33" s="2"/>
      <c r="N33" s="15"/>
      <c r="O33" s="15"/>
      <c r="P33" s="23" t="s">
        <v>251</v>
      </c>
      <c r="Q33" s="23" t="s">
        <v>252</v>
      </c>
      <c r="R33" s="23"/>
      <c r="S33" s="23"/>
    </row>
    <row r="34" spans="1:19">
      <c r="A34" s="42" t="s">
        <v>287</v>
      </c>
      <c r="B34" s="2" t="s">
        <v>107</v>
      </c>
      <c r="C34" s="2"/>
      <c r="D34" s="2"/>
      <c r="E34" s="2"/>
      <c r="F34" s="1" t="str">
        <f>IF(Table2[[#This Row],[Data Pattern (display name)]]="", "", VLOOKUP(Table2[[#This Row],[Data Pattern (display name)]],'dataType Data Pattern List'!A:B,2,FALSE))</f>
        <v/>
      </c>
      <c r="G34" s="1"/>
      <c r="H34" s="23"/>
      <c r="I34" s="2"/>
      <c r="J34" s="2"/>
      <c r="K34" s="2"/>
      <c r="L34" s="2"/>
      <c r="M34" s="2" t="s">
        <v>285</v>
      </c>
      <c r="N34" s="15"/>
      <c r="O34" s="15"/>
      <c r="P34" s="23"/>
      <c r="Q34" s="23"/>
      <c r="R34" s="23"/>
      <c r="S34" s="23"/>
    </row>
    <row r="35" spans="1:19">
      <c r="A35" s="42" t="s">
        <v>288</v>
      </c>
      <c r="B35" s="2" t="s">
        <v>83</v>
      </c>
      <c r="C35" s="2"/>
      <c r="D35" s="2"/>
      <c r="E35" s="2"/>
      <c r="F35" s="1" t="str">
        <f>IF(Table2[[#This Row],[Data Pattern (display name)]]="", "", VLOOKUP(Table2[[#This Row],[Data Pattern (display name)]],'dataType Data Pattern List'!A:B,2,FALSE))</f>
        <v/>
      </c>
      <c r="G35" s="1"/>
      <c r="H35" s="23"/>
      <c r="I35" s="2" t="s">
        <v>289</v>
      </c>
      <c r="J35" s="2" t="s">
        <v>290</v>
      </c>
      <c r="K35" s="2"/>
      <c r="L35" s="2"/>
      <c r="M35" s="2"/>
      <c r="N35" s="15"/>
      <c r="O35" s="15"/>
      <c r="P35" s="23"/>
      <c r="Q35" s="23"/>
      <c r="R35" s="23"/>
      <c r="S35" s="23"/>
    </row>
    <row r="36" spans="1:19">
      <c r="A36" s="6" t="s">
        <v>291</v>
      </c>
      <c r="B36" s="2" t="s">
        <v>80</v>
      </c>
      <c r="C36" s="2" t="s">
        <v>263</v>
      </c>
      <c r="D36" s="2" t="s">
        <v>263</v>
      </c>
      <c r="E36" s="2" t="s">
        <v>84</v>
      </c>
      <c r="F36" s="1" t="str">
        <f>IF(Table2[[#This Row],[Data Pattern (display name)]]="", "", VLOOKUP(Table2[[#This Row],[Data Pattern (display name)]],'dataType Data Pattern List'!A:B,2,FALSE))</f>
        <v>REG_EX_HAN</v>
      </c>
      <c r="G36" s="1"/>
      <c r="H36" s="23"/>
      <c r="I36" s="2"/>
      <c r="J36" s="2"/>
      <c r="K36" s="2"/>
      <c r="L36" s="2"/>
      <c r="M36" s="2"/>
      <c r="N36" s="15"/>
      <c r="O36" s="15"/>
      <c r="P36" s="23"/>
      <c r="Q36" s="23"/>
      <c r="R36" s="23"/>
      <c r="S36" s="23"/>
    </row>
    <row r="37" spans="1:19">
      <c r="A37" t="s">
        <v>292</v>
      </c>
      <c r="B37" t="s">
        <v>80</v>
      </c>
      <c r="C37" t="s">
        <v>242</v>
      </c>
      <c r="D37" t="s">
        <v>243</v>
      </c>
      <c r="E37" t="s">
        <v>84</v>
      </c>
      <c r="F37" t="str">
        <f>IF(Table2[[#This Row],[Data Pattern (display name)]]="", "", VLOOKUP(Table2[[#This Row],[Data Pattern (display name)]],'dataType Data Pattern List'!A:B,2,FALSE))</f>
        <v>REG_EX_HAN</v>
      </c>
      <c r="I37" s="2"/>
      <c r="J37" s="2"/>
      <c r="K37" s="2"/>
      <c r="L37" s="2"/>
      <c r="M37" s="2"/>
      <c r="N37" s="15"/>
      <c r="O37" s="15"/>
      <c r="P37" s="23"/>
      <c r="Q37" s="23"/>
      <c r="R37" s="23"/>
      <c r="S37" s="23"/>
    </row>
    <row r="38" spans="1:19">
      <c r="A38" t="s">
        <v>293</v>
      </c>
      <c r="B38" t="s">
        <v>80</v>
      </c>
      <c r="C38" t="s">
        <v>242</v>
      </c>
      <c r="D38" t="s">
        <v>294</v>
      </c>
      <c r="E38" t="s">
        <v>79</v>
      </c>
      <c r="F38" t="str">
        <f>IF(Table2[[#This Row],[Data Pattern (display name)]]="", "", VLOOKUP(Table2[[#This Row],[Data Pattern (display name)]],'dataType Data Pattern List'!A:B,2,FALSE))</f>
        <v>REG_EX_ALL</v>
      </c>
      <c r="G38" t="s">
        <v>48</v>
      </c>
      <c r="I38" s="2"/>
      <c r="J38" s="2"/>
      <c r="K38" s="2"/>
      <c r="L38" s="2"/>
      <c r="M38" s="2"/>
      <c r="N38" s="15"/>
      <c r="O38" s="15"/>
      <c r="P38" s="23"/>
      <c r="Q38" s="23"/>
      <c r="R38" s="23"/>
      <c r="S38" s="23"/>
    </row>
    <row r="39" spans="1:19">
      <c r="A39" t="s">
        <v>295</v>
      </c>
      <c r="B39" t="s">
        <v>83</v>
      </c>
      <c r="F39" t="str">
        <f>IF(Table2[[#This Row],[Data Pattern (display name)]]="", "", VLOOKUP(Table2[[#This Row],[Data Pattern (display name)]],'dataType Data Pattern List'!A:B,2,FALSE))</f>
        <v/>
      </c>
      <c r="I39" s="2"/>
      <c r="J39" s="2"/>
      <c r="K39" s="2"/>
      <c r="L39" s="2"/>
      <c r="M39" s="2"/>
      <c r="N39" s="15"/>
      <c r="O39" s="15"/>
      <c r="P39" s="23"/>
      <c r="Q39" s="23"/>
      <c r="R39" s="23"/>
      <c r="S39" s="23"/>
    </row>
    <row r="40" spans="1:19">
      <c r="A40" t="s">
        <v>296</v>
      </c>
      <c r="B40" t="s">
        <v>80</v>
      </c>
      <c r="C40" t="s">
        <v>259</v>
      </c>
      <c r="D40" t="s">
        <v>297</v>
      </c>
      <c r="E40" t="s">
        <v>79</v>
      </c>
      <c r="F40" t="str">
        <f>IF(Table2[[#This Row],[Data Pattern (display name)]]="", "", VLOOKUP(Table2[[#This Row],[Data Pattern (display name)]],'dataType Data Pattern List'!A:B,2,FALSE))</f>
        <v>REG_EX_ALL</v>
      </c>
      <c r="I40" s="2"/>
      <c r="J40" s="2"/>
      <c r="K40" s="2"/>
      <c r="L40" s="2"/>
      <c r="M40" s="2"/>
      <c r="N40" s="15"/>
      <c r="O40" s="15"/>
      <c r="P40" s="23"/>
      <c r="Q40" s="23"/>
      <c r="R40" s="23"/>
      <c r="S40" s="23"/>
    </row>
    <row r="41" spans="1:19">
      <c r="A41" t="s">
        <v>298</v>
      </c>
      <c r="B41" t="s">
        <v>80</v>
      </c>
      <c r="C41" t="s">
        <v>242</v>
      </c>
      <c r="D41" t="s">
        <v>243</v>
      </c>
      <c r="E41" t="s">
        <v>79</v>
      </c>
      <c r="F41" t="str">
        <f>IF(Table2[[#This Row],[Data Pattern (display name)]]="", "", VLOOKUP(Table2[[#This Row],[Data Pattern (display name)]],'dataType Data Pattern List'!A:B,2,FALSE))</f>
        <v>REG_EX_ALL</v>
      </c>
      <c r="I41" s="2"/>
      <c r="J41" s="2"/>
      <c r="K41" s="2"/>
      <c r="L41" s="2"/>
      <c r="M41" s="2"/>
      <c r="N41" s="15"/>
      <c r="O41" s="15"/>
      <c r="P41" s="23"/>
      <c r="Q41" s="23"/>
      <c r="R41" s="23"/>
      <c r="S41" s="23"/>
    </row>
    <row r="42" spans="1:19" ht="48">
      <c r="A42" t="s">
        <v>299</v>
      </c>
      <c r="B42" t="s">
        <v>80</v>
      </c>
      <c r="C42" t="s">
        <v>242</v>
      </c>
      <c r="D42" t="s">
        <v>300</v>
      </c>
      <c r="E42" t="s">
        <v>79</v>
      </c>
      <c r="F42" t="str">
        <f>IF(Table2[[#This Row],[Data Pattern (display name)]]="", "", VLOOKUP(Table2[[#This Row],[Data Pattern (display name)]],'dataType Data Pattern List'!A:B,2,FALSE))</f>
        <v>REG_EX_ALL</v>
      </c>
      <c r="G42" t="s">
        <v>48</v>
      </c>
      <c r="H42" t="s">
        <v>301</v>
      </c>
      <c r="I42" s="2"/>
      <c r="J42" s="2"/>
      <c r="K42" s="2"/>
      <c r="L42" s="2"/>
      <c r="M42" s="2"/>
      <c r="N42" s="15"/>
      <c r="O42" s="15"/>
      <c r="P42" s="23" t="s">
        <v>560</v>
      </c>
      <c r="Q42" s="23" t="s">
        <v>541</v>
      </c>
      <c r="R42" s="23"/>
      <c r="S42" s="23"/>
    </row>
    <row r="43" spans="1:19">
      <c r="A43" t="s">
        <v>302</v>
      </c>
      <c r="B43" t="s">
        <v>80</v>
      </c>
      <c r="C43" t="s">
        <v>259</v>
      </c>
      <c r="D43" t="s">
        <v>256</v>
      </c>
      <c r="E43" t="s">
        <v>79</v>
      </c>
      <c r="F43" t="str">
        <f>IF(Table2[[#This Row],[Data Pattern (display name)]]="", "", VLOOKUP(Table2[[#This Row],[Data Pattern (display name)]],'dataType Data Pattern List'!A:B,2,FALSE))</f>
        <v>REG_EX_ALL</v>
      </c>
      <c r="I43" s="2"/>
      <c r="J43" s="2"/>
      <c r="K43" s="2"/>
      <c r="L43" s="2"/>
      <c r="M43" s="2"/>
      <c r="N43" s="15"/>
      <c r="O43" s="15"/>
      <c r="P43" s="23"/>
      <c r="Q43" s="23"/>
      <c r="R43" s="23"/>
      <c r="S43" s="23"/>
    </row>
    <row r="44" spans="1:19">
      <c r="A44" s="6"/>
      <c r="B44" s="2"/>
      <c r="C44" s="2"/>
      <c r="D44" s="2"/>
      <c r="E44" s="2"/>
      <c r="F44" s="1"/>
      <c r="G44" s="1"/>
      <c r="H44" s="23"/>
      <c r="I44" s="2"/>
      <c r="J44" s="2"/>
      <c r="K44" s="2"/>
      <c r="L44" s="2"/>
      <c r="M44" s="2"/>
      <c r="N44" s="15"/>
      <c r="O44" s="15"/>
      <c r="P44" s="23"/>
      <c r="Q44" s="23"/>
      <c r="R44" s="23"/>
      <c r="S44" s="23"/>
    </row>
  </sheetData>
  <mergeCells count="3">
    <mergeCell ref="I5:L5"/>
    <mergeCell ref="C5:H5"/>
    <mergeCell ref="P5:S5"/>
  </mergeCells>
  <dataValidations count="7">
    <dataValidation type="list" allowBlank="1" showInputMessage="1" showErrorMessage="1" sqref="F1:H1 F1048314:H1048576 F3:H4 G30" xr:uid="{DDC605AF-3C4F-E54C-B5B6-6A62E4761BA5}">
      <formula1>INDIRECT(#REF!)</formula1>
    </dataValidation>
    <dataValidation type="list" allowBlank="1" showInputMessage="1" showErrorMessage="1" sqref="R33:S33 H36 G33:G36 G44:H44 P34:S40 F37:H40 F52:H1048299 G29" xr:uid="{EED680FF-3F38-0C4F-A96E-B1029B803191}">
      <formula1>INDIRECT($C32)</formula1>
    </dataValidation>
    <dataValidation type="list" allowBlank="1" showInputMessage="1" showErrorMessage="1" sqref="F2:H2" xr:uid="{DEB1727D-30B5-9E4B-AF3C-24191BE95661}">
      <formula1>INDIRECT($C6)</formula1>
    </dataValidation>
    <dataValidation type="list" allowBlank="1" showInputMessage="1" showErrorMessage="1" sqref="F1048300:H1048313" xr:uid="{ED4C1240-60BD-B246-A4E2-3EFB95E437E2}">
      <formula1>INDIRECT($C1)</formula1>
    </dataValidation>
    <dataValidation type="list" allowBlank="1" showInputMessage="1" showErrorMessage="1" sqref="F41:H43 R41:S44 P41:Q41 P43:Q44" xr:uid="{F31D4093-3846-1642-9F0A-F488CCC1F839}">
      <formula1>INDIRECT($C52)</formula1>
    </dataValidation>
    <dataValidation type="list" allowBlank="1" showInputMessage="1" showErrorMessage="1" sqref="N8:N44" xr:uid="{31C2FAC8-C8A8-D345-8274-4E4E16412EA3}">
      <formula1>"○"</formula1>
    </dataValidation>
    <dataValidation type="list" allowBlank="1" showInputMessage="1" showErrorMessage="1" sqref="E8:E44" xr:uid="{55BD57AE-42BF-1846-8033-65C52DCCA3DF}">
      <formula1>general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topLeftCell="A17" zoomScale="90" zoomScaleNormal="90" workbookViewId="0">
      <selection activeCell="C35" sqref="C35"/>
    </sheetView>
  </sheetViews>
  <sheetFormatPr baseColWidth="10" defaultColWidth="8.83203125" defaultRowHeight="15" outlineLevelCol="1"/>
  <cols>
    <col min="1" max="1" width="25.33203125" style="3" customWidth="1"/>
    <col min="2" max="2" width="9.1640625" style="3" bestFit="1" customWidth="1"/>
    <col min="3" max="3" width="51.5" style="3" bestFit="1" customWidth="1"/>
    <col min="4" max="4" width="12.1640625" style="3" customWidth="1" outlineLevel="1"/>
    <col min="5" max="5" width="44.6640625" customWidth="1" outlineLevel="1"/>
    <col min="6" max="9" width="25" customWidth="1"/>
  </cols>
  <sheetData>
    <row r="1" spans="1:9">
      <c r="A1" s="7" t="s">
        <v>303</v>
      </c>
      <c r="D1" s="7"/>
    </row>
    <row r="3" spans="1:9" ht="16" customHeight="1">
      <c r="A3" s="3" t="s">
        <v>304</v>
      </c>
      <c r="F3" s="70" t="s">
        <v>1</v>
      </c>
      <c r="G3" s="70" t="s">
        <v>2</v>
      </c>
      <c r="H3" s="70" t="s">
        <v>3</v>
      </c>
      <c r="I3" s="70" t="s">
        <v>4</v>
      </c>
    </row>
    <row r="4" spans="1:9">
      <c r="A4" s="3" t="s">
        <v>305</v>
      </c>
      <c r="D4" s="52"/>
      <c r="F4" s="32" t="str">
        <f>IF('General Settings'!$G$11=0,"",'General Settings'!$G$11)</f>
        <v>en</v>
      </c>
      <c r="G4" s="32" t="str">
        <f>IF('General Settings'!$G$12=0,"",'General Settings'!$G$12)</f>
        <v>ja</v>
      </c>
      <c r="H4" s="32" t="str">
        <f>IF('General Settings'!$G$13=0,"",'General Settings'!$G$13)</f>
        <v/>
      </c>
      <c r="I4" s="32" t="str">
        <f>IF('General Settings'!$G$14=0,"",'General Settings'!$G$14)</f>
        <v/>
      </c>
    </row>
    <row r="6" spans="1:9" ht="16" customHeight="1">
      <c r="A6" s="3" t="s">
        <v>212</v>
      </c>
      <c r="B6" s="3" t="s">
        <v>306</v>
      </c>
      <c r="C6" s="3" t="s">
        <v>307</v>
      </c>
      <c r="D6" s="3" t="s">
        <v>9</v>
      </c>
      <c r="E6" s="3" t="s">
        <v>36</v>
      </c>
      <c r="F6" s="76" t="s">
        <v>308</v>
      </c>
      <c r="G6" s="76" t="s">
        <v>309</v>
      </c>
      <c r="H6" s="76" t="s">
        <v>310</v>
      </c>
      <c r="I6" s="76" t="s">
        <v>311</v>
      </c>
    </row>
    <row r="7" spans="1:9">
      <c r="A7" s="6" t="s">
        <v>275</v>
      </c>
      <c r="B7" s="16" t="s">
        <v>242</v>
      </c>
      <c r="C7" s="16" t="s">
        <v>312</v>
      </c>
      <c r="D7" s="9"/>
      <c r="F7" s="16" t="s">
        <v>313</v>
      </c>
      <c r="G7" s="17" t="s">
        <v>314</v>
      </c>
    </row>
    <row r="8" spans="1:9">
      <c r="A8" s="6" t="s">
        <v>275</v>
      </c>
      <c r="B8" s="16" t="s">
        <v>285</v>
      </c>
      <c r="C8" s="16" t="s">
        <v>315</v>
      </c>
      <c r="D8" s="9"/>
      <c r="F8" s="16" t="s">
        <v>316</v>
      </c>
      <c r="G8" s="17" t="s">
        <v>317</v>
      </c>
    </row>
    <row r="9" spans="1:9">
      <c r="A9" s="6" t="s">
        <v>275</v>
      </c>
      <c r="B9" s="16" t="s">
        <v>318</v>
      </c>
      <c r="C9" s="16" t="s">
        <v>319</v>
      </c>
      <c r="D9" s="9"/>
      <c r="E9" s="33"/>
      <c r="F9" s="16" t="s">
        <v>320</v>
      </c>
      <c r="G9" s="17" t="s">
        <v>321</v>
      </c>
      <c r="H9" s="16"/>
      <c r="I9" s="16"/>
    </row>
    <row r="10" spans="1:9">
      <c r="A10" t="s">
        <v>267</v>
      </c>
      <c r="B10" s="16" t="s">
        <v>242</v>
      </c>
      <c r="C10" s="16" t="s">
        <v>322</v>
      </c>
      <c r="D10" s="9"/>
      <c r="E10" s="33"/>
      <c r="F10" s="16" t="s">
        <v>323</v>
      </c>
      <c r="G10" s="16" t="s">
        <v>323</v>
      </c>
      <c r="H10" s="16"/>
      <c r="I10" s="16"/>
    </row>
    <row r="11" spans="1:9">
      <c r="A11" t="s">
        <v>267</v>
      </c>
      <c r="B11" s="16" t="s">
        <v>285</v>
      </c>
      <c r="C11" s="16" t="s">
        <v>324</v>
      </c>
      <c r="D11" s="9"/>
      <c r="E11" s="33"/>
      <c r="F11" s="16" t="s">
        <v>325</v>
      </c>
      <c r="G11" s="16" t="s">
        <v>325</v>
      </c>
      <c r="H11" s="16"/>
      <c r="I11" s="16"/>
    </row>
    <row r="12" spans="1:9">
      <c r="A12" s="6" t="s">
        <v>257</v>
      </c>
      <c r="B12" s="16" t="s">
        <v>326</v>
      </c>
      <c r="C12" s="16" t="s">
        <v>327</v>
      </c>
      <c r="D12" s="9"/>
      <c r="E12" s="33"/>
      <c r="F12" s="16" t="s">
        <v>327</v>
      </c>
      <c r="G12" s="55" t="s">
        <v>327</v>
      </c>
      <c r="H12" s="16"/>
      <c r="I12" s="16"/>
    </row>
    <row r="13" spans="1:9">
      <c r="A13" s="6" t="s">
        <v>257</v>
      </c>
      <c r="B13" s="16" t="s">
        <v>328</v>
      </c>
      <c r="C13" s="17" t="s">
        <v>329</v>
      </c>
      <c r="D13" s="9"/>
      <c r="E13" s="33"/>
      <c r="F13" s="16" t="s">
        <v>330</v>
      </c>
      <c r="G13" s="16" t="s">
        <v>330</v>
      </c>
      <c r="H13" s="16"/>
      <c r="I13" s="16"/>
    </row>
    <row r="14" spans="1:9">
      <c r="A14" s="6" t="s">
        <v>257</v>
      </c>
      <c r="B14" s="16" t="s">
        <v>264</v>
      </c>
      <c r="C14" s="16" t="s">
        <v>331</v>
      </c>
      <c r="D14" s="9"/>
      <c r="E14" s="33"/>
      <c r="F14" s="16" t="s">
        <v>332</v>
      </c>
      <c r="G14" s="16" t="s">
        <v>333</v>
      </c>
      <c r="H14" s="16"/>
      <c r="I14" s="16"/>
    </row>
    <row r="15" spans="1:9">
      <c r="A15" s="42" t="s">
        <v>276</v>
      </c>
      <c r="B15" s="16" t="s">
        <v>242</v>
      </c>
      <c r="C15" s="16" t="s">
        <v>334</v>
      </c>
      <c r="D15" s="9"/>
      <c r="E15" s="33"/>
      <c r="F15" s="16" t="s">
        <v>335</v>
      </c>
      <c r="G15" s="16" t="s">
        <v>335</v>
      </c>
      <c r="H15" s="16"/>
      <c r="I15" s="16"/>
    </row>
    <row r="16" spans="1:9">
      <c r="A16" s="42" t="s">
        <v>276</v>
      </c>
      <c r="B16" s="16" t="s">
        <v>285</v>
      </c>
      <c r="C16" s="16" t="s">
        <v>336</v>
      </c>
      <c r="D16" s="9"/>
      <c r="E16" s="33"/>
      <c r="F16" s="16" t="s">
        <v>336</v>
      </c>
      <c r="G16" s="17" t="s">
        <v>337</v>
      </c>
      <c r="H16" s="16"/>
      <c r="I16" s="16"/>
    </row>
    <row r="17" spans="1:9">
      <c r="A17" s="42" t="s">
        <v>287</v>
      </c>
      <c r="B17" s="16" t="s">
        <v>326</v>
      </c>
      <c r="C17" s="16" t="s">
        <v>338</v>
      </c>
      <c r="D17" s="9"/>
      <c r="E17" s="33"/>
      <c r="F17" s="16" t="s">
        <v>339</v>
      </c>
      <c r="G17" s="55" t="s">
        <v>340</v>
      </c>
      <c r="H17" s="16"/>
      <c r="I17" s="16"/>
    </row>
    <row r="18" spans="1:9">
      <c r="A18" s="42" t="s">
        <v>287</v>
      </c>
      <c r="B18" s="16" t="s">
        <v>341</v>
      </c>
      <c r="C18" s="16" t="s">
        <v>342</v>
      </c>
      <c r="D18" s="9"/>
      <c r="E18" s="33"/>
      <c r="F18" s="16" t="s">
        <v>343</v>
      </c>
      <c r="G18" s="55" t="s">
        <v>344</v>
      </c>
      <c r="H18" s="16"/>
      <c r="I18" s="16"/>
    </row>
    <row r="19" spans="1:9">
      <c r="A19" s="42" t="s">
        <v>287</v>
      </c>
      <c r="B19" s="16" t="s">
        <v>345</v>
      </c>
      <c r="C19" s="16" t="s">
        <v>346</v>
      </c>
      <c r="D19" s="9"/>
      <c r="E19" s="33"/>
      <c r="F19" s="16" t="s">
        <v>347</v>
      </c>
      <c r="G19" s="55" t="s">
        <v>348</v>
      </c>
      <c r="H19" s="16"/>
      <c r="I19" s="16"/>
    </row>
  </sheetData>
  <dataValidations count="1">
    <dataValidation type="list" allowBlank="1" showInputMessage="1" showErrorMessage="1" sqref="D7:D19" xr:uid="{00000000-0002-0000-0600-000000000000}">
      <formula1>"○"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AS90"/>
  <sheetViews>
    <sheetView tabSelected="1" topLeftCell="P1" zoomScaleNormal="100" zoomScaleSheetLayoutView="80" workbookViewId="0">
      <selection activeCell="R5" sqref="R5"/>
    </sheetView>
  </sheetViews>
  <sheetFormatPr baseColWidth="10" defaultColWidth="9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6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8" width="29.5" style="37" customWidth="1" outlineLevel="2"/>
    <col min="19" max="19" width="29" style="37" customWidth="1" outlineLevel="2"/>
    <col min="20" max="22" width="18.33203125" style="37" customWidth="1" outlineLevel="2"/>
    <col min="23" max="23" width="17.1640625" style="37" customWidth="1" outlineLevel="1"/>
    <col min="24" max="26" width="9.1640625" style="37" customWidth="1" outlineLevel="2"/>
    <col min="27" max="27" width="9.1640625" style="35" customWidth="1" outlineLevel="2"/>
    <col min="28" max="33" width="9.1640625" style="38" customWidth="1" outlineLevel="2"/>
    <col min="34" max="34" width="19.33203125" style="38" customWidth="1" outlineLevel="1"/>
    <col min="35" max="38" width="33.33203125" style="38" customWidth="1"/>
    <col min="39" max="42" width="9" style="38" customWidth="1"/>
    <col min="43" max="16384" width="9" style="38"/>
  </cols>
  <sheetData>
    <row r="1" spans="1:45">
      <c r="A1" s="34" t="s">
        <v>349</v>
      </c>
    </row>
    <row r="2" spans="1:45" ht="16" customHeight="1">
      <c r="AI2" s="71" t="s">
        <v>1</v>
      </c>
      <c r="AJ2" s="71" t="s">
        <v>2</v>
      </c>
      <c r="AK2" s="71" t="s">
        <v>3</v>
      </c>
      <c r="AL2" s="71" t="s">
        <v>4</v>
      </c>
    </row>
    <row r="3" spans="1:45">
      <c r="A3" s="52"/>
      <c r="AI3" s="32" t="str">
        <f>IF('General Settings'!$G$11=0,"",'General Settings'!$G$11)</f>
        <v>en</v>
      </c>
      <c r="AJ3" s="32" t="str">
        <f>IF('General Settings'!$G$12=0,"",'General Settings'!$G$12)</f>
        <v>ja</v>
      </c>
      <c r="AK3" s="32" t="str">
        <f>IF('General Settings'!$G$13=0,"",'General Settings'!$G$13)</f>
        <v/>
      </c>
      <c r="AL3" s="32" t="str">
        <f>IF('General Settings'!$G$14=0,"",'General Settings'!$G$14)</f>
        <v/>
      </c>
    </row>
    <row r="4" spans="1:45">
      <c r="A4" s="34"/>
    </row>
    <row r="5" spans="1:45" s="40" customFormat="1" ht="45" customHeight="1">
      <c r="A5" s="39" t="s">
        <v>5</v>
      </c>
      <c r="B5" s="39" t="s">
        <v>6</v>
      </c>
      <c r="C5" s="39" t="s">
        <v>7</v>
      </c>
      <c r="D5" s="72" t="s">
        <v>8</v>
      </c>
      <c r="E5" s="39" t="s">
        <v>9</v>
      </c>
      <c r="F5" s="73" t="s">
        <v>10</v>
      </c>
      <c r="G5" s="73" t="s">
        <v>11</v>
      </c>
      <c r="H5" s="73" t="s">
        <v>12</v>
      </c>
      <c r="I5" s="73" t="s">
        <v>13</v>
      </c>
      <c r="J5" s="74" t="s">
        <v>14</v>
      </c>
      <c r="K5" s="73" t="s">
        <v>15</v>
      </c>
      <c r="L5" s="74" t="s">
        <v>16</v>
      </c>
      <c r="M5" s="74" t="s">
        <v>17</v>
      </c>
      <c r="N5" s="74" t="s">
        <v>18</v>
      </c>
      <c r="O5" s="74" t="s">
        <v>19</v>
      </c>
      <c r="P5" s="74" t="s">
        <v>20</v>
      </c>
      <c r="Q5" s="74" t="s">
        <v>21</v>
      </c>
      <c r="R5" s="74" t="s">
        <v>562</v>
      </c>
      <c r="S5" s="74" t="s">
        <v>22</v>
      </c>
      <c r="T5" s="74" t="s">
        <v>23</v>
      </c>
      <c r="U5" s="74" t="s">
        <v>24</v>
      </c>
      <c r="V5" s="74" t="s">
        <v>563</v>
      </c>
      <c r="W5" s="74" t="s">
        <v>25</v>
      </c>
      <c r="X5" s="74" t="s">
        <v>26</v>
      </c>
      <c r="Y5" s="74" t="s">
        <v>27</v>
      </c>
      <c r="Z5" s="74" t="s">
        <v>28</v>
      </c>
      <c r="AA5" s="74" t="s">
        <v>29</v>
      </c>
      <c r="AB5" s="74" t="s">
        <v>30</v>
      </c>
      <c r="AC5" s="74" t="s">
        <v>31</v>
      </c>
      <c r="AD5" s="74" t="s">
        <v>32</v>
      </c>
      <c r="AE5" s="74" t="s">
        <v>33</v>
      </c>
      <c r="AF5" s="74" t="s">
        <v>34</v>
      </c>
      <c r="AG5" s="74" t="s">
        <v>35</v>
      </c>
      <c r="AH5" s="74" t="s">
        <v>36</v>
      </c>
      <c r="AI5" s="73" t="s">
        <v>37</v>
      </c>
      <c r="AJ5" s="75" t="s">
        <v>38</v>
      </c>
      <c r="AK5" s="75" t="s">
        <v>39</v>
      </c>
      <c r="AL5" s="75" t="s">
        <v>40</v>
      </c>
      <c r="AS5" s="41"/>
    </row>
    <row r="6" spans="1:45" s="40" customFormat="1" ht="14" customHeight="1">
      <c r="A6" s="6" t="s">
        <v>350</v>
      </c>
      <c r="B6" s="6" t="s">
        <v>351</v>
      </c>
      <c r="C6" s="6" t="s">
        <v>42</v>
      </c>
      <c r="D6" s="43" t="str">
        <f>IF(Table7[[#This Row],[dataType]]="","",IF(NOT(ISNA(VLOOKUP(Table7[[#This Row],[dataType]], 'dataType Definition'!A:A, 1,FALSE))), "○", "×"))</f>
        <v>○</v>
      </c>
      <c r="E6" s="9"/>
      <c r="F6" s="8" t="s">
        <v>48</v>
      </c>
      <c r="G6" s="8"/>
      <c r="H6" s="8"/>
      <c r="I6" s="8" t="s">
        <v>48</v>
      </c>
      <c r="J6" s="8"/>
      <c r="K6" s="39"/>
      <c r="L6" s="8"/>
      <c r="M6" s="8" t="s">
        <v>48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25"/>
      <c r="AI6" s="42" t="s">
        <v>351</v>
      </c>
      <c r="AJ6" s="54" t="s">
        <v>351</v>
      </c>
      <c r="AK6" s="42"/>
      <c r="AL6" s="39"/>
      <c r="AS6" s="41"/>
    </row>
    <row r="7" spans="1:45" s="40" customFormat="1" ht="14" customHeight="1">
      <c r="A7" s="6" t="s">
        <v>350</v>
      </c>
      <c r="B7" s="6" t="s">
        <v>352</v>
      </c>
      <c r="C7" s="6" t="s">
        <v>244</v>
      </c>
      <c r="D7" s="43" t="str">
        <f>IF(Table7[[#This Row],[dataType]]="","",IF(NOT(ISNA(VLOOKUP(Table7[[#This Row],[dataType]], 'dataType Definition'!A:A, 1,FALSE))), "○", "×"))</f>
        <v>○</v>
      </c>
      <c r="E7" s="9"/>
      <c r="F7" s="8"/>
      <c r="G7" s="8" t="s">
        <v>48</v>
      </c>
      <c r="H7" s="8"/>
      <c r="I7" s="8"/>
      <c r="J7" s="8"/>
      <c r="K7" s="39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25"/>
      <c r="AI7" s="6" t="s">
        <v>353</v>
      </c>
      <c r="AJ7" s="6" t="s">
        <v>354</v>
      </c>
      <c r="AK7" s="42"/>
      <c r="AL7" s="39"/>
      <c r="AS7" s="41"/>
    </row>
    <row r="8" spans="1:45" s="40" customFormat="1" ht="14" customHeight="1">
      <c r="A8" s="6" t="s">
        <v>350</v>
      </c>
      <c r="B8" s="6" t="s">
        <v>355</v>
      </c>
      <c r="C8" s="6" t="s">
        <v>47</v>
      </c>
      <c r="D8" s="43" t="str">
        <f>IF(Table7[[#This Row],[dataType]]="","",IF(NOT(ISNA(VLOOKUP(Table7[[#This Row],[dataType]], 'dataType Definition'!A:A, 1,FALSE))), "○", "×"))</f>
        <v>○</v>
      </c>
      <c r="E8" s="9"/>
      <c r="F8" s="39"/>
      <c r="G8" s="39"/>
      <c r="H8" s="8"/>
      <c r="I8" s="8"/>
      <c r="J8" s="8"/>
      <c r="K8" s="3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25"/>
      <c r="AI8" s="6" t="s">
        <v>356</v>
      </c>
      <c r="AJ8" s="6" t="s">
        <v>357</v>
      </c>
      <c r="AK8" s="42"/>
      <c r="AL8" s="39"/>
      <c r="AS8" s="41"/>
    </row>
    <row r="9" spans="1:45" s="40" customFormat="1" ht="14" customHeight="1">
      <c r="A9" s="6" t="s">
        <v>350</v>
      </c>
      <c r="B9" s="6" t="s">
        <v>358</v>
      </c>
      <c r="C9" s="6" t="s">
        <v>68</v>
      </c>
      <c r="D9" s="43" t="str">
        <f>IF(Table7[[#This Row],[dataType]]="","",IF(NOT(ISNA(VLOOKUP(Table7[[#This Row],[dataType]], 'dataType Definition'!A:A, 1,FALSE))), "○", "×"))</f>
        <v>○</v>
      </c>
      <c r="E9" s="9"/>
      <c r="F9" s="39"/>
      <c r="G9" s="39"/>
      <c r="H9" s="8"/>
      <c r="I9" s="8"/>
      <c r="J9" s="8"/>
      <c r="K9" s="3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25"/>
      <c r="AI9" s="6" t="s">
        <v>359</v>
      </c>
      <c r="AJ9" s="6" t="s">
        <v>321</v>
      </c>
      <c r="AK9" s="42"/>
      <c r="AL9" s="39"/>
      <c r="AS9" s="41"/>
    </row>
    <row r="10" spans="1:45" s="40" customFormat="1" ht="14" customHeight="1">
      <c r="A10" s="42" t="s">
        <v>350</v>
      </c>
      <c r="B10" s="6" t="s">
        <v>360</v>
      </c>
      <c r="C10" s="6" t="s">
        <v>275</v>
      </c>
      <c r="D10" s="43" t="str">
        <f>IF(Table7[[#This Row],[dataType]]="","",IF(NOT(ISNA(VLOOKUP(Table7[[#This Row],[dataType]], 'dataType Definition'!A:A, 1,FALSE))), "○", "×"))</f>
        <v>○</v>
      </c>
      <c r="E10" s="9"/>
      <c r="F10" s="39"/>
      <c r="G10" s="39"/>
      <c r="H10" s="8"/>
      <c r="I10" s="8"/>
      <c r="J10" s="8"/>
      <c r="K10" s="3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5"/>
      <c r="AI10" s="6" t="s">
        <v>361</v>
      </c>
      <c r="AJ10" s="6" t="s">
        <v>362</v>
      </c>
      <c r="AK10" s="42"/>
      <c r="AL10" s="39"/>
      <c r="AS10" s="41"/>
    </row>
    <row r="11" spans="1:45" s="40" customFormat="1" ht="14" customHeight="1">
      <c r="A11" s="42" t="s">
        <v>350</v>
      </c>
      <c r="B11" s="6" t="s">
        <v>363</v>
      </c>
      <c r="C11" s="6" t="s">
        <v>253</v>
      </c>
      <c r="D11" s="43" t="str">
        <f>IF(Table7[[#This Row],[dataType]]="","",IF(NOT(ISNA(VLOOKUP(Table7[[#This Row],[dataType]], 'dataType Definition'!A:A, 1,FALSE))), "○", "×"))</f>
        <v>○</v>
      </c>
      <c r="E11" s="9"/>
      <c r="F11" s="39"/>
      <c r="G11" s="39"/>
      <c r="H11" s="8" t="s">
        <v>48</v>
      </c>
      <c r="I11" s="8"/>
      <c r="J11" s="8"/>
      <c r="K11" s="3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25"/>
      <c r="AI11" s="6" t="s">
        <v>364</v>
      </c>
      <c r="AJ11" s="6" t="s">
        <v>365</v>
      </c>
      <c r="AK11" s="42"/>
      <c r="AL11" s="39"/>
      <c r="AS11" s="41"/>
    </row>
    <row r="12" spans="1:45" s="40" customFormat="1" ht="14" customHeight="1">
      <c r="A12" s="6" t="s">
        <v>350</v>
      </c>
      <c r="B12" s="6" t="s">
        <v>366</v>
      </c>
      <c r="C12" s="6" t="s">
        <v>68</v>
      </c>
      <c r="D12" s="43" t="str">
        <f>IF(Table7[[#This Row],[dataType]]="","",IF(NOT(ISNA(VLOOKUP(Table7[[#This Row],[dataType]], 'dataType Definition'!A:A, 1,FALSE))), "○", "×"))</f>
        <v>○</v>
      </c>
      <c r="E12" s="9"/>
      <c r="F12" s="8"/>
      <c r="G12" s="8"/>
      <c r="H12" s="8"/>
      <c r="I12" s="8"/>
      <c r="J12" s="8"/>
      <c r="K12" s="3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5"/>
      <c r="AI12" s="42" t="s">
        <v>367</v>
      </c>
      <c r="AJ12" s="54" t="s">
        <v>368</v>
      </c>
      <c r="AK12" s="42"/>
      <c r="AL12" s="39"/>
      <c r="AS12" s="41"/>
    </row>
    <row r="13" spans="1:45">
      <c r="A13" s="6" t="s">
        <v>350</v>
      </c>
      <c r="B13" s="42" t="s">
        <v>369</v>
      </c>
      <c r="C13" s="42" t="s">
        <v>68</v>
      </c>
      <c r="D13" s="43" t="str">
        <f>IF(Table7[[#This Row],[dataType]]="","",IF(NOT(ISNA(VLOOKUP(Table7[[#This Row],[dataType]], 'dataType Definition'!A:A, 1,FALSE))), "○", "×"))</f>
        <v>○</v>
      </c>
      <c r="E13" s="9"/>
      <c r="F13" s="8"/>
      <c r="G13" s="8"/>
      <c r="H13" s="8"/>
      <c r="I13" s="8"/>
      <c r="J13" s="8"/>
      <c r="K13" s="3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25"/>
      <c r="AI13" s="6" t="s">
        <v>370</v>
      </c>
      <c r="AJ13" s="42" t="s">
        <v>371</v>
      </c>
      <c r="AK13" s="42"/>
      <c r="AL13" s="39"/>
    </row>
    <row r="14" spans="1:45">
      <c r="A14" s="42" t="s">
        <v>350</v>
      </c>
      <c r="B14" s="42" t="s">
        <v>372</v>
      </c>
      <c r="C14" s="6" t="s">
        <v>68</v>
      </c>
      <c r="D14" s="43" t="str">
        <f>IF(Table7[[#This Row],[dataType]]="","",IF(NOT(ISNA(VLOOKUP(Table7[[#This Row],[dataType]], 'dataType Definition'!A:A, 1,FALSE))), "○", "×"))</f>
        <v>○</v>
      </c>
      <c r="E14" s="9"/>
      <c r="F14" s="8"/>
      <c r="G14" s="8"/>
      <c r="H14" s="8"/>
      <c r="I14" s="8"/>
      <c r="J14" s="8"/>
      <c r="K14" s="3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25"/>
      <c r="AI14" s="42" t="s">
        <v>373</v>
      </c>
      <c r="AJ14" s="42" t="s">
        <v>374</v>
      </c>
      <c r="AK14" s="42"/>
      <c r="AL14" s="39"/>
    </row>
    <row r="15" spans="1:45">
      <c r="A15" s="42" t="s">
        <v>375</v>
      </c>
      <c r="B15" s="42" t="s">
        <v>211</v>
      </c>
      <c r="C15" s="6" t="s">
        <v>42</v>
      </c>
      <c r="D15" s="43" t="str">
        <f>IF(Table7[[#This Row],[dataType]]="","",IF(NOT(ISNA(VLOOKUP(Table7[[#This Row],[dataType]], 'dataType Definition'!A:A, 1,FALSE))), "○", "×"))</f>
        <v>○</v>
      </c>
      <c r="E15" s="9"/>
      <c r="F15" s="8" t="s">
        <v>48</v>
      </c>
      <c r="G15" s="8"/>
      <c r="H15" s="8"/>
      <c r="I15" s="8"/>
      <c r="J15" s="8"/>
      <c r="K15" s="39"/>
      <c r="L15" s="8"/>
      <c r="M15" s="8"/>
      <c r="N15" s="8"/>
      <c r="O15" s="8" t="s">
        <v>376</v>
      </c>
      <c r="P15" s="8" t="s">
        <v>133</v>
      </c>
      <c r="Q15" s="8" t="s">
        <v>377</v>
      </c>
      <c r="R15" s="8"/>
      <c r="S15" s="8" t="s">
        <v>350</v>
      </c>
      <c r="T15" s="8" t="s">
        <v>351</v>
      </c>
      <c r="U15" s="8" t="s">
        <v>378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25"/>
      <c r="AI15" s="42" t="s">
        <v>379</v>
      </c>
      <c r="AJ15" s="42" t="s">
        <v>380</v>
      </c>
      <c r="AK15" s="42"/>
      <c r="AL15" s="39"/>
    </row>
    <row r="16" spans="1:45">
      <c r="A16" s="42" t="s">
        <v>381</v>
      </c>
      <c r="B16" s="42" t="s">
        <v>211</v>
      </c>
      <c r="C16" s="6" t="s">
        <v>42</v>
      </c>
      <c r="D16" s="43" t="str">
        <f>IF(Table7[[#This Row],[dataType]]="","",IF(NOT(ISNA(VLOOKUP(Table7[[#This Row],[dataType]], 'dataType Definition'!A:A, 1,FALSE))), "○", "×"))</f>
        <v>○</v>
      </c>
      <c r="E16" s="9"/>
      <c r="F16" s="8" t="s">
        <v>48</v>
      </c>
      <c r="G16" s="39"/>
      <c r="H16" s="8"/>
      <c r="I16" s="8"/>
      <c r="J16" s="8"/>
      <c r="K16" s="39"/>
      <c r="L16" s="8"/>
      <c r="M16" s="8"/>
      <c r="N16" s="8"/>
      <c r="O16" s="8" t="s">
        <v>376</v>
      </c>
      <c r="P16" s="8" t="s">
        <v>133</v>
      </c>
      <c r="Q16" s="8" t="s">
        <v>377</v>
      </c>
      <c r="R16" s="8"/>
      <c r="S16" s="8" t="s">
        <v>350</v>
      </c>
      <c r="T16" s="8" t="s">
        <v>351</v>
      </c>
      <c r="U16" s="8" t="s">
        <v>382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25"/>
      <c r="AI16" s="42" t="s">
        <v>379</v>
      </c>
      <c r="AJ16" s="6" t="s">
        <v>380</v>
      </c>
      <c r="AK16" s="42"/>
      <c r="AL16" s="39"/>
    </row>
    <row r="17" spans="1:45">
      <c r="A17" s="42" t="s">
        <v>381</v>
      </c>
      <c r="B17" s="42" t="s">
        <v>383</v>
      </c>
      <c r="C17" s="6" t="s">
        <v>68</v>
      </c>
      <c r="D17" s="43" t="str">
        <f>IF(Table7[[#This Row],[dataType]]="","",IF(NOT(ISNA(VLOOKUP(Table7[[#This Row],[dataType]], 'dataType Definition'!A:A, 1,FALSE))), "○", "×"))</f>
        <v>○</v>
      </c>
      <c r="E17" s="9"/>
      <c r="F17" s="39"/>
      <c r="G17" s="39"/>
      <c r="H17" s="8"/>
      <c r="I17" s="8"/>
      <c r="J17" s="8"/>
      <c r="K17" s="3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25"/>
      <c r="AI17" s="42" t="s">
        <v>384</v>
      </c>
      <c r="AJ17" s="6" t="s">
        <v>385</v>
      </c>
      <c r="AK17" s="42"/>
      <c r="AL17" s="39"/>
    </row>
    <row r="18" spans="1:45">
      <c r="A18" s="42" t="s">
        <v>215</v>
      </c>
      <c r="B18" s="42" t="s">
        <v>351</v>
      </c>
      <c r="C18" s="42" t="s">
        <v>42</v>
      </c>
      <c r="D18" s="43" t="str">
        <f>IF(Table7[[#This Row],[dataType]]="","",IF(NOT(ISNA(VLOOKUP(Table7[[#This Row],[dataType]], 'dataType Definition'!A:A, 1,FALSE))), "○", "×"))</f>
        <v>○</v>
      </c>
      <c r="E18" s="9"/>
      <c r="F18" s="124" t="s">
        <v>48</v>
      </c>
      <c r="G18" s="39"/>
      <c r="H18" s="8"/>
      <c r="I18" s="8" t="s">
        <v>48</v>
      </c>
      <c r="J18" s="8"/>
      <c r="K18" s="3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25"/>
      <c r="AI18" s="42" t="s">
        <v>351</v>
      </c>
      <c r="AJ18" s="6" t="s">
        <v>351</v>
      </c>
      <c r="AK18" s="42"/>
      <c r="AL18" s="39"/>
    </row>
    <row r="19" spans="1:45">
      <c r="A19" s="42" t="s">
        <v>215</v>
      </c>
      <c r="B19" s="6" t="s">
        <v>386</v>
      </c>
      <c r="C19" s="42" t="s">
        <v>52</v>
      </c>
      <c r="D19" s="43" t="str">
        <f>IF(Table7[[#This Row],[dataType]]="","",IF(NOT(ISNA(VLOOKUP(Table7[[#This Row],[dataType]], 'dataType Definition'!A:A, 1,FALSE))), "○", "×"))</f>
        <v>○</v>
      </c>
      <c r="E19" s="9"/>
      <c r="F19" s="39"/>
      <c r="G19" s="39"/>
      <c r="H19" s="8"/>
      <c r="I19" s="8"/>
      <c r="J19" s="8"/>
      <c r="K19" s="3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25"/>
      <c r="AI19" s="6" t="s">
        <v>387</v>
      </c>
      <c r="AJ19" s="6" t="s">
        <v>388</v>
      </c>
      <c r="AK19" s="42"/>
      <c r="AL19" s="39"/>
    </row>
    <row r="20" spans="1:45">
      <c r="A20" s="42" t="s">
        <v>389</v>
      </c>
      <c r="B20" s="6" t="s">
        <v>351</v>
      </c>
      <c r="C20" s="42" t="s">
        <v>42</v>
      </c>
      <c r="D20" s="43" t="str">
        <f>IF(Table7[[#This Row],[dataType]]="","",IF(NOT(ISNA(VLOOKUP(Table7[[#This Row],[dataType]], 'dataType Definition'!A:A, 1,FALSE))), "○", "×"))</f>
        <v>○</v>
      </c>
      <c r="E20" s="9"/>
      <c r="F20" s="124" t="s">
        <v>48</v>
      </c>
      <c r="G20" s="39"/>
      <c r="H20" s="8"/>
      <c r="I20" s="8" t="s">
        <v>48</v>
      </c>
      <c r="J20" s="8"/>
      <c r="K20" s="3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25"/>
      <c r="AI20" s="42" t="s">
        <v>351</v>
      </c>
      <c r="AJ20" s="6" t="s">
        <v>351</v>
      </c>
      <c r="AK20" s="42"/>
      <c r="AL20" s="39"/>
    </row>
    <row r="21" spans="1:45">
      <c r="A21" s="42" t="s">
        <v>389</v>
      </c>
      <c r="B21" s="6" t="s">
        <v>211</v>
      </c>
      <c r="C21" s="42" t="s">
        <v>42</v>
      </c>
      <c r="D21" s="43" t="str">
        <f>IF(Table7[[#This Row],[dataType]]="","",IF(NOT(ISNA(VLOOKUP(Table7[[#This Row],[dataType]], 'dataType Definition'!A:A, 1,FALSE))), "○", "×"))</f>
        <v>○</v>
      </c>
      <c r="E21" s="9"/>
      <c r="F21" s="39"/>
      <c r="G21" s="39"/>
      <c r="H21" s="8"/>
      <c r="I21" s="8"/>
      <c r="J21" s="8"/>
      <c r="K21" s="39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25"/>
      <c r="AI21" s="42" t="s">
        <v>379</v>
      </c>
      <c r="AJ21" s="6" t="s">
        <v>380</v>
      </c>
      <c r="AK21" s="42"/>
      <c r="AL21" s="39"/>
    </row>
    <row r="22" spans="1:45" s="40" customFormat="1" ht="14" customHeight="1">
      <c r="A22" s="42" t="s">
        <v>389</v>
      </c>
      <c r="B22" s="42" t="s">
        <v>390</v>
      </c>
      <c r="C22" s="6" t="s">
        <v>42</v>
      </c>
      <c r="D22" s="43" t="str">
        <f>IF(Table7[[#This Row],[dataType]]="","",IF(NOT(ISNA(VLOOKUP(Table7[[#This Row],[dataType]], 'dataType Definition'!A:A, 1,FALSE))), "○", "×"))</f>
        <v>○</v>
      </c>
      <c r="E22" s="9"/>
      <c r="F22" s="9"/>
      <c r="G22" s="9"/>
      <c r="H22" s="9"/>
      <c r="I22" s="9"/>
      <c r="J22" s="8"/>
      <c r="K22" s="39"/>
      <c r="L22" s="8"/>
      <c r="M22" s="9"/>
      <c r="N22" s="8"/>
      <c r="O22" s="8"/>
      <c r="P22" s="8"/>
      <c r="Q22" s="8"/>
      <c r="R22" s="8"/>
      <c r="S22" s="8"/>
      <c r="T22" s="8"/>
      <c r="U22" s="8"/>
      <c r="V22" s="8"/>
      <c r="W22" s="9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25"/>
      <c r="AI22" s="42" t="s">
        <v>391</v>
      </c>
      <c r="AJ22" s="51" t="s">
        <v>392</v>
      </c>
      <c r="AK22" s="42"/>
      <c r="AL22" s="39"/>
      <c r="AS22" s="41"/>
    </row>
    <row r="23" spans="1:45" s="40" customFormat="1" ht="14" customHeight="1">
      <c r="A23" s="42" t="s">
        <v>393</v>
      </c>
      <c r="B23" s="42" t="s">
        <v>351</v>
      </c>
      <c r="C23" s="6" t="s">
        <v>42</v>
      </c>
      <c r="D23" s="43" t="str">
        <f>IF(Table7[[#This Row],[dataType]]="","",IF(NOT(ISNA(VLOOKUP(Table7[[#This Row],[dataType]], 'dataType Definition'!A:A, 1,FALSE))), "○", "×"))</f>
        <v>○</v>
      </c>
      <c r="E23" s="9"/>
      <c r="F23" s="124" t="s">
        <v>48</v>
      </c>
      <c r="G23" s="9"/>
      <c r="H23" s="8"/>
      <c r="I23" s="8" t="s">
        <v>48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44"/>
      <c r="AA23" s="44"/>
      <c r="AB23" s="44"/>
      <c r="AC23" s="44"/>
      <c r="AD23" s="44"/>
      <c r="AE23" s="44"/>
      <c r="AF23" s="44"/>
      <c r="AG23" s="44"/>
      <c r="AH23" s="60"/>
      <c r="AI23" s="42" t="s">
        <v>351</v>
      </c>
      <c r="AJ23" s="51" t="s">
        <v>351</v>
      </c>
      <c r="AK23" s="42"/>
      <c r="AL23" s="39"/>
      <c r="AS23" s="41"/>
    </row>
    <row r="24" spans="1:45">
      <c r="A24" s="42" t="s">
        <v>393</v>
      </c>
      <c r="B24" s="6" t="s">
        <v>211</v>
      </c>
      <c r="C24" s="6" t="s">
        <v>42</v>
      </c>
      <c r="D24" s="43" t="str">
        <f>IF(Table7[[#This Row],[dataType]]="","",IF(NOT(ISNA(VLOOKUP(Table7[[#This Row],[dataType]], 'dataType Definition'!A:A, 1,FALSE))), "○", "×"))</f>
        <v>○</v>
      </c>
      <c r="E24" s="9"/>
      <c r="F24" s="39"/>
      <c r="G24" s="39"/>
      <c r="H24" s="8"/>
      <c r="I24" s="8"/>
      <c r="J24" s="8"/>
      <c r="K24" s="39"/>
      <c r="L24" s="8"/>
      <c r="M24" s="8"/>
      <c r="N24" s="8"/>
      <c r="O24" s="8"/>
      <c r="P24" s="8"/>
      <c r="Q24" s="8"/>
      <c r="R24" s="8"/>
      <c r="S24" s="53"/>
      <c r="T24" s="53"/>
      <c r="U24" s="53"/>
      <c r="V24" s="53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25"/>
      <c r="AI24" s="6" t="s">
        <v>379</v>
      </c>
      <c r="AJ24" s="63" t="s">
        <v>380</v>
      </c>
    </row>
    <row r="25" spans="1:45">
      <c r="A25" s="42" t="s">
        <v>393</v>
      </c>
      <c r="B25" s="42" t="s">
        <v>394</v>
      </c>
      <c r="C25" s="6" t="s">
        <v>287</v>
      </c>
      <c r="D25" s="43" t="str">
        <f>IF(Table7[[#This Row],[dataType]]="","",IF(NOT(ISNA(VLOOKUP(Table7[[#This Row],[dataType]], 'dataType Definition'!A:A, 1,FALSE))), "○", "×"))</f>
        <v>○</v>
      </c>
      <c r="E25" s="9"/>
      <c r="F25" s="39"/>
      <c r="G25" s="39"/>
      <c r="H25" s="8"/>
      <c r="I25" s="8"/>
      <c r="J25" s="8"/>
      <c r="K25" s="3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25"/>
      <c r="AI25" s="42" t="s">
        <v>395</v>
      </c>
      <c r="AJ25" s="6" t="s">
        <v>396</v>
      </c>
      <c r="AK25" s="42"/>
      <c r="AL25" s="39"/>
    </row>
    <row r="26" spans="1:45" s="40" customFormat="1" ht="14" customHeight="1">
      <c r="A26" s="42" t="s">
        <v>393</v>
      </c>
      <c r="B26" s="6" t="s">
        <v>397</v>
      </c>
      <c r="C26" s="6" t="s">
        <v>241</v>
      </c>
      <c r="D26" s="43" t="str">
        <f>IF(Table7[[#This Row],[dataType]]="","",IF(NOT(ISNA(VLOOKUP(Table7[[#This Row],[dataType]], 'dataType Definition'!A:A, 1,FALSE))), "○", "×"))</f>
        <v>○</v>
      </c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44"/>
      <c r="AA26" s="44"/>
      <c r="AB26" s="44"/>
      <c r="AC26" s="44"/>
      <c r="AD26" s="44"/>
      <c r="AE26" s="44"/>
      <c r="AF26" s="44"/>
      <c r="AG26" s="44"/>
      <c r="AH26" s="60"/>
      <c r="AI26" s="42" t="s">
        <v>398</v>
      </c>
      <c r="AJ26" s="6" t="s">
        <v>399</v>
      </c>
      <c r="AK26" s="42"/>
      <c r="AL26" s="39"/>
      <c r="AS26" s="41"/>
    </row>
    <row r="27" spans="1:45" s="40" customFormat="1" ht="14" customHeight="1">
      <c r="A27" s="42" t="s">
        <v>393</v>
      </c>
      <c r="B27" s="51" t="s">
        <v>366</v>
      </c>
      <c r="C27" s="6" t="s">
        <v>68</v>
      </c>
      <c r="D27" s="43" t="str">
        <f>IF(Table7[[#This Row],[dataType]]="","",IF(NOT(ISNA(VLOOKUP(Table7[[#This Row],[dataType]], 'dataType Definition'!A:A, 1,FALSE))), "○", "×"))</f>
        <v>○</v>
      </c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44"/>
      <c r="AA27" s="44"/>
      <c r="AB27" s="44"/>
      <c r="AC27" s="44"/>
      <c r="AD27" s="44"/>
      <c r="AE27" s="44"/>
      <c r="AF27" s="44"/>
      <c r="AG27" s="44"/>
      <c r="AH27" s="60"/>
      <c r="AI27" s="51" t="s">
        <v>367</v>
      </c>
      <c r="AJ27" s="6" t="s">
        <v>368</v>
      </c>
      <c r="AK27" s="42"/>
      <c r="AL27" s="39"/>
      <c r="AS27" s="41"/>
    </row>
    <row r="28" spans="1:45" s="40" customFormat="1" ht="14" customHeight="1">
      <c r="A28" s="6" t="s">
        <v>393</v>
      </c>
      <c r="B28" s="6" t="s">
        <v>400</v>
      </c>
      <c r="C28" s="6" t="s">
        <v>68</v>
      </c>
      <c r="D28" s="43" t="str">
        <f>IF(Table7[[#This Row],[dataType]]="","",IF(NOT(ISNA(VLOOKUP(Table7[[#This Row],[dataType]], 'dataType Definition'!A:A, 1,FALSE))), "○", "×"))</f>
        <v>○</v>
      </c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44"/>
      <c r="AA28" s="44"/>
      <c r="AB28" s="44"/>
      <c r="AC28" s="44"/>
      <c r="AD28" s="44"/>
      <c r="AE28" s="44"/>
      <c r="AF28" s="44"/>
      <c r="AG28" s="44"/>
      <c r="AH28" s="60"/>
      <c r="AI28" s="42" t="s">
        <v>401</v>
      </c>
      <c r="AJ28" s="42" t="s">
        <v>402</v>
      </c>
      <c r="AK28" s="42"/>
      <c r="AL28" s="39"/>
      <c r="AS28" s="41"/>
    </row>
    <row r="29" spans="1:45" s="40" customFormat="1" ht="14" customHeight="1">
      <c r="A29" s="6" t="s">
        <v>393</v>
      </c>
      <c r="B29" s="6" t="s">
        <v>403</v>
      </c>
      <c r="C29" s="6" t="s">
        <v>244</v>
      </c>
      <c r="D29" s="43" t="str">
        <f>IF(Table7[[#This Row],[dataType]]="","",IF(NOT(ISNA(VLOOKUP(Table7[[#This Row],[dataType]], 'dataType Definition'!A:A, 1,FALSE))), "○", "×"))</f>
        <v>○</v>
      </c>
      <c r="E29" s="9"/>
      <c r="F29" s="8"/>
      <c r="G29" s="8"/>
      <c r="H29" s="8" t="s">
        <v>48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53"/>
      <c r="T29" s="53"/>
      <c r="U29" s="8"/>
      <c r="V29" s="8"/>
      <c r="W29" s="8"/>
      <c r="X29" s="8"/>
      <c r="Y29" s="8"/>
      <c r="Z29" s="44"/>
      <c r="AA29" s="44"/>
      <c r="AB29" s="44"/>
      <c r="AC29" s="44"/>
      <c r="AD29" s="44"/>
      <c r="AE29" s="44"/>
      <c r="AF29" s="44"/>
      <c r="AG29" s="44"/>
      <c r="AH29" s="60"/>
      <c r="AI29" s="6" t="s">
        <v>404</v>
      </c>
      <c r="AJ29" s="63" t="s">
        <v>405</v>
      </c>
      <c r="AK29" s="42"/>
      <c r="AL29" s="39"/>
      <c r="AS29" s="41"/>
    </row>
    <row r="30" spans="1:45" s="40" customFormat="1" ht="14" customHeight="1">
      <c r="A30" s="6" t="s">
        <v>393</v>
      </c>
      <c r="B30" s="51" t="s">
        <v>406</v>
      </c>
      <c r="C30" s="6" t="s">
        <v>253</v>
      </c>
      <c r="D30" s="43" t="str">
        <f>IF(Table7[[#This Row],[dataType]]="","",IF(NOT(ISNA(VLOOKUP(Table7[[#This Row],[dataType]], 'dataType Definition'!A:A, 1,FALSE))), "○", "×"))</f>
        <v>○</v>
      </c>
      <c r="E30" s="9"/>
      <c r="F30" s="8"/>
      <c r="G30" s="8"/>
      <c r="H30" s="8" t="s">
        <v>48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44"/>
      <c r="AA30" s="44"/>
      <c r="AB30" s="44"/>
      <c r="AC30" s="44"/>
      <c r="AD30" s="44"/>
      <c r="AE30" s="44"/>
      <c r="AF30" s="44"/>
      <c r="AG30" s="44"/>
      <c r="AH30" s="60"/>
      <c r="AI30" s="51" t="s">
        <v>407</v>
      </c>
      <c r="AJ30" s="51" t="s">
        <v>408</v>
      </c>
      <c r="AK30" s="42"/>
      <c r="AL30" s="39"/>
      <c r="AS30" s="41"/>
    </row>
    <row r="31" spans="1:45" s="40" customFormat="1" ht="14" customHeight="1">
      <c r="A31" s="6" t="s">
        <v>393</v>
      </c>
      <c r="B31" s="51" t="s">
        <v>409</v>
      </c>
      <c r="C31" s="6" t="s">
        <v>52</v>
      </c>
      <c r="D31" s="43" t="str">
        <f>IF(Table7[[#This Row],[dataType]]="","",IF(NOT(ISNA(VLOOKUP(Table7[[#This Row],[dataType]], 'dataType Definition'!A:A, 1,FALSE))), "○", "×"))</f>
        <v>○</v>
      </c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44"/>
      <c r="AA31" s="44"/>
      <c r="AB31" s="44"/>
      <c r="AC31" s="44"/>
      <c r="AD31" s="44"/>
      <c r="AE31" s="44"/>
      <c r="AF31" s="44"/>
      <c r="AG31" s="44"/>
      <c r="AH31" s="60"/>
      <c r="AI31" s="51" t="s">
        <v>410</v>
      </c>
      <c r="AJ31" s="51" t="s">
        <v>411</v>
      </c>
      <c r="AK31" s="42"/>
      <c r="AL31" s="39"/>
      <c r="AS31" s="41"/>
    </row>
    <row r="32" spans="1:45">
      <c r="A32" s="42" t="s">
        <v>412</v>
      </c>
      <c r="B32" s="6" t="s">
        <v>351</v>
      </c>
      <c r="C32" s="6" t="s">
        <v>42</v>
      </c>
      <c r="D32" s="43" t="str">
        <f>IF(Table7[[#This Row],[dataType]]="","",IF(NOT(ISNA(VLOOKUP(Table7[[#This Row],[dataType]], 'dataType Definition'!A:A, 1,FALSE))), "○", "×"))</f>
        <v>○</v>
      </c>
      <c r="E32" s="9"/>
      <c r="F32" s="124" t="s">
        <v>48</v>
      </c>
      <c r="G32" s="8"/>
      <c r="H32" s="8"/>
      <c r="I32" s="8" t="s">
        <v>48</v>
      </c>
      <c r="J32" s="8"/>
      <c r="K32" s="3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25"/>
      <c r="AI32" s="42" t="s">
        <v>351</v>
      </c>
      <c r="AJ32" s="54" t="s">
        <v>351</v>
      </c>
      <c r="AK32" s="42"/>
      <c r="AL32" s="39"/>
    </row>
    <row r="33" spans="1:45">
      <c r="A33" s="42" t="s">
        <v>412</v>
      </c>
      <c r="B33" s="6" t="s">
        <v>211</v>
      </c>
      <c r="C33" s="6" t="s">
        <v>42</v>
      </c>
      <c r="D33" s="43" t="str">
        <f>IF(Table7[[#This Row],[dataType]]="","",IF(NOT(ISNA(VLOOKUP(Table7[[#This Row],[dataType]], 'dataType Definition'!A:A, 1,FALSE))), "○", "×"))</f>
        <v>○</v>
      </c>
      <c r="E33" s="9"/>
      <c r="F33" s="8"/>
      <c r="G33" s="8"/>
      <c r="H33" s="8"/>
      <c r="I33" s="8"/>
      <c r="J33" s="8"/>
      <c r="K33" s="39"/>
      <c r="L33" s="8"/>
      <c r="M33" s="8"/>
      <c r="N33" s="8"/>
      <c r="O33" s="8" t="s">
        <v>413</v>
      </c>
      <c r="P33" s="8" t="s">
        <v>131</v>
      </c>
      <c r="Q33" s="8" t="s">
        <v>377</v>
      </c>
      <c r="R33" s="8"/>
      <c r="S33" s="53" t="s">
        <v>350</v>
      </c>
      <c r="T33" s="53" t="s">
        <v>351</v>
      </c>
      <c r="U33" s="53"/>
      <c r="V33" s="53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25"/>
      <c r="AI33" s="6" t="s">
        <v>379</v>
      </c>
      <c r="AJ33" s="63" t="s">
        <v>380</v>
      </c>
      <c r="AK33" s="42"/>
      <c r="AL33" s="39"/>
    </row>
    <row r="34" spans="1:45" s="40" customFormat="1" ht="14" customHeight="1">
      <c r="A34" s="42" t="s">
        <v>412</v>
      </c>
      <c r="B34" s="6" t="s">
        <v>414</v>
      </c>
      <c r="C34" s="6" t="s">
        <v>292</v>
      </c>
      <c r="D34" s="43" t="str">
        <f>IF(Table7[[#This Row],[dataType]]="","",IF(NOT(ISNA(VLOOKUP(Table7[[#This Row],[dataType]], 'dataType Definition'!A:A, 1,FALSE))), "○", "×"))</f>
        <v>○</v>
      </c>
      <c r="E34" s="9"/>
      <c r="F34" s="8"/>
      <c r="G34" s="124" t="s">
        <v>48</v>
      </c>
      <c r="H34" s="8"/>
      <c r="I34" s="8"/>
      <c r="J34" s="8"/>
      <c r="K34" s="3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25"/>
      <c r="AI34" s="6" t="s">
        <v>415</v>
      </c>
      <c r="AJ34" s="6" t="s">
        <v>416</v>
      </c>
      <c r="AK34" s="42"/>
      <c r="AL34" s="39"/>
      <c r="AS34" s="41"/>
    </row>
    <row r="35" spans="1:45" s="40" customFormat="1" ht="14" customHeight="1">
      <c r="A35" s="42" t="s">
        <v>412</v>
      </c>
      <c r="B35" s="6" t="s">
        <v>417</v>
      </c>
      <c r="C35" s="6" t="s">
        <v>295</v>
      </c>
      <c r="D35" s="43" t="str">
        <f>IF(Table7[[#This Row],[dataType]]="","",IF(NOT(ISNA(VLOOKUP(Table7[[#This Row],[dataType]], 'dataType Definition'!A:A, 1,FALSE))), "○", "×"))</f>
        <v>○</v>
      </c>
      <c r="E35" s="9"/>
      <c r="F35" s="8"/>
      <c r="G35" s="8"/>
      <c r="H35" s="8"/>
      <c r="I35" s="8"/>
      <c r="J35" s="8"/>
      <c r="K35" s="39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25"/>
      <c r="AI35" s="6" t="s">
        <v>418</v>
      </c>
      <c r="AJ35" s="6" t="s">
        <v>418</v>
      </c>
      <c r="AK35" s="42"/>
      <c r="AL35" s="39"/>
      <c r="AS35" s="41"/>
    </row>
    <row r="36" spans="1:45" s="40" customFormat="1" ht="14" customHeight="1">
      <c r="A36" s="42" t="s">
        <v>412</v>
      </c>
      <c r="B36" s="6" t="s">
        <v>355</v>
      </c>
      <c r="C36" s="6" t="s">
        <v>293</v>
      </c>
      <c r="D36" s="43" t="str">
        <f>IF(Table7[[#This Row],[dataType]]="","",IF(NOT(ISNA(VLOOKUP(Table7[[#This Row],[dataType]], 'dataType Definition'!A:A, 1,FALSE))), "○", "×"))</f>
        <v>○</v>
      </c>
      <c r="E36" s="9"/>
      <c r="F36" s="8"/>
      <c r="G36" s="8"/>
      <c r="H36" s="8" t="s">
        <v>48</v>
      </c>
      <c r="I36" s="8"/>
      <c r="J36" s="8"/>
      <c r="K36" s="3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25"/>
      <c r="AI36" s="6" t="s">
        <v>356</v>
      </c>
      <c r="AJ36" s="6" t="s">
        <v>419</v>
      </c>
      <c r="AK36" s="42"/>
      <c r="AL36" s="39"/>
      <c r="AS36" s="41"/>
    </row>
    <row r="37" spans="1:45" ht="160" customHeight="1">
      <c r="A37" s="42" t="s">
        <v>412</v>
      </c>
      <c r="B37" s="6" t="s">
        <v>420</v>
      </c>
      <c r="C37" s="42" t="s">
        <v>296</v>
      </c>
      <c r="D37" s="43" t="str">
        <f>IF(Table7[[#This Row],[dataType]]="","",IF(NOT(ISNA(VLOOKUP(Table7[[#This Row],[dataType]], 'dataType Definition'!A:A, 1,FALSE))), "○", "×"))</f>
        <v>○</v>
      </c>
      <c r="E37" s="9"/>
      <c r="F37" s="39"/>
      <c r="G37" s="39"/>
      <c r="H37" s="8" t="s">
        <v>48</v>
      </c>
      <c r="I37" s="8"/>
      <c r="J37" s="8"/>
      <c r="K37" s="39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25"/>
      <c r="AI37" s="42" t="s">
        <v>421</v>
      </c>
      <c r="AJ37" s="42" t="s">
        <v>422</v>
      </c>
      <c r="AK37" s="42"/>
      <c r="AL37" s="39"/>
    </row>
    <row r="38" spans="1:45">
      <c r="A38" s="42" t="s">
        <v>412</v>
      </c>
      <c r="B38" s="6" t="s">
        <v>423</v>
      </c>
      <c r="C38" s="42" t="s">
        <v>293</v>
      </c>
      <c r="D38" s="43" t="str">
        <f>IF(Table7[[#This Row],[dataType]]="","",IF(NOT(ISNA(VLOOKUP(Table7[[#This Row],[dataType]], 'dataType Definition'!A:A, 1,FALSE))), "○", "×"))</f>
        <v>○</v>
      </c>
      <c r="E38" s="9"/>
      <c r="F38" s="39"/>
      <c r="G38" s="39"/>
      <c r="H38" s="8" t="s">
        <v>48</v>
      </c>
      <c r="I38" s="8"/>
      <c r="J38" s="8"/>
      <c r="K38" s="3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25"/>
      <c r="AI38" s="42" t="s">
        <v>424</v>
      </c>
      <c r="AJ38" s="42" t="s">
        <v>425</v>
      </c>
      <c r="AK38" s="42"/>
      <c r="AL38" s="39"/>
    </row>
    <row r="39" spans="1:45">
      <c r="A39" s="42" t="s">
        <v>412</v>
      </c>
      <c r="B39" s="6" t="s">
        <v>426</v>
      </c>
      <c r="C39" s="42" t="s">
        <v>293</v>
      </c>
      <c r="D39" s="43" t="str">
        <f>IF(Table7[[#This Row],[dataType]]="","",IF(NOT(ISNA(VLOOKUP(Table7[[#This Row],[dataType]], 'dataType Definition'!A:A, 1,FALSE))), "○", "×"))</f>
        <v>○</v>
      </c>
      <c r="E39" s="9"/>
      <c r="F39" s="8"/>
      <c r="G39" s="8"/>
      <c r="H39" s="8" t="s">
        <v>48</v>
      </c>
      <c r="I39" s="8"/>
      <c r="J39" s="8"/>
      <c r="K39" s="39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25"/>
      <c r="AI39" s="42" t="s">
        <v>427</v>
      </c>
      <c r="AJ39" s="63" t="s">
        <v>428</v>
      </c>
      <c r="AK39" s="42"/>
      <c r="AL39" s="39"/>
    </row>
    <row r="40" spans="1:45">
      <c r="A40" s="42" t="s">
        <v>412</v>
      </c>
      <c r="B40" s="6" t="s">
        <v>429</v>
      </c>
      <c r="C40" s="42" t="s">
        <v>295</v>
      </c>
      <c r="D40" s="43" t="str">
        <f>IF(Table7[[#This Row],[dataType]]="","",IF(NOT(ISNA(VLOOKUP(Table7[[#This Row],[dataType]], 'dataType Definition'!A:A, 1,FALSE))), "○", "×"))</f>
        <v>○</v>
      </c>
      <c r="E40" s="9"/>
      <c r="F40" s="8"/>
      <c r="G40" s="8"/>
      <c r="H40" s="8"/>
      <c r="I40" s="8"/>
      <c r="J40" s="8"/>
      <c r="K40" s="39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25"/>
      <c r="AI40" s="42" t="s">
        <v>430</v>
      </c>
      <c r="AJ40" s="63" t="s">
        <v>431</v>
      </c>
      <c r="AK40" s="42"/>
      <c r="AL40" s="39"/>
    </row>
    <row r="41" spans="1:45">
      <c r="A41" s="42" t="s">
        <v>412</v>
      </c>
      <c r="B41" s="6" t="s">
        <v>432</v>
      </c>
      <c r="C41" s="42" t="s">
        <v>295</v>
      </c>
      <c r="D41" s="43" t="str">
        <f>IF(Table7[[#This Row],[dataType]]="","",IF(NOT(ISNA(VLOOKUP(Table7[[#This Row],[dataType]], 'dataType Definition'!A:A, 1,FALSE))), "○", "×"))</f>
        <v>○</v>
      </c>
      <c r="E41" s="9"/>
      <c r="F41" s="8"/>
      <c r="G41" s="8"/>
      <c r="H41" s="8"/>
      <c r="I41" s="8"/>
      <c r="J41" s="8"/>
      <c r="K41" s="39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25"/>
      <c r="AI41" s="42" t="s">
        <v>433</v>
      </c>
      <c r="AJ41" s="63" t="s">
        <v>434</v>
      </c>
      <c r="AK41" s="42"/>
      <c r="AL41" s="39"/>
    </row>
    <row r="42" spans="1:45">
      <c r="A42" s="42" t="s">
        <v>412</v>
      </c>
      <c r="B42" s="6" t="s">
        <v>435</v>
      </c>
      <c r="C42" s="42" t="s">
        <v>295</v>
      </c>
      <c r="D42" s="43" t="str">
        <f>IF(Table7[[#This Row],[dataType]]="","",IF(NOT(ISNA(VLOOKUP(Table7[[#This Row],[dataType]], 'dataType Definition'!A:A, 1,FALSE))), "○", "×"))</f>
        <v>○</v>
      </c>
      <c r="E42" s="9"/>
      <c r="F42" s="8"/>
      <c r="G42" s="8"/>
      <c r="H42" s="8"/>
      <c r="I42" s="8"/>
      <c r="J42" s="8"/>
      <c r="K42" s="39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25"/>
      <c r="AI42" s="42" t="s">
        <v>436</v>
      </c>
      <c r="AJ42" s="63" t="s">
        <v>437</v>
      </c>
      <c r="AK42" s="42"/>
      <c r="AL42" s="39"/>
    </row>
    <row r="43" spans="1:45">
      <c r="A43" s="42" t="s">
        <v>412</v>
      </c>
      <c r="B43" s="6" t="s">
        <v>438</v>
      </c>
      <c r="C43" s="6" t="s">
        <v>299</v>
      </c>
      <c r="D43" s="43" t="str">
        <f>IF(Table7[[#This Row],[dataType]]="","",IF(NOT(ISNA(VLOOKUP(Table7[[#This Row],[dataType]], 'dataType Definition'!A:A, 1,FALSE))), "○", "×"))</f>
        <v>○</v>
      </c>
      <c r="E43" s="9"/>
      <c r="F43" s="8"/>
      <c r="G43" s="8"/>
      <c r="H43" s="8" t="s">
        <v>48</v>
      </c>
      <c r="I43" s="8"/>
      <c r="J43" s="8"/>
      <c r="K43" s="3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25"/>
      <c r="AI43" s="42" t="s">
        <v>439</v>
      </c>
      <c r="AJ43" s="54" t="s">
        <v>440</v>
      </c>
      <c r="AK43" s="42"/>
      <c r="AL43" s="39"/>
    </row>
    <row r="44" spans="1:45">
      <c r="A44" s="42" t="s">
        <v>412</v>
      </c>
      <c r="B44" s="6" t="s">
        <v>441</v>
      </c>
      <c r="C44" s="6" t="s">
        <v>299</v>
      </c>
      <c r="D44" s="43" t="str">
        <f>IF(Table7[[#This Row],[dataType]]="","",IF(NOT(ISNA(VLOOKUP(Table7[[#This Row],[dataType]], 'dataType Definition'!A:A, 1,FALSE))), "○", "×"))</f>
        <v>○</v>
      </c>
      <c r="E44" s="9"/>
      <c r="F44" s="8"/>
      <c r="G44" s="8"/>
      <c r="H44" s="8" t="s">
        <v>48</v>
      </c>
      <c r="I44" s="8"/>
      <c r="J44" s="8"/>
      <c r="K44" s="39"/>
      <c r="L44" s="8"/>
      <c r="M44" s="8"/>
      <c r="N44" s="8"/>
      <c r="O44" s="8"/>
      <c r="P44" s="8"/>
      <c r="Q44" s="8"/>
      <c r="R44" s="8"/>
      <c r="S44" s="42"/>
      <c r="T44" s="53"/>
      <c r="U44" s="53"/>
      <c r="V44" s="53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25"/>
      <c r="AI44" s="6" t="s">
        <v>442</v>
      </c>
      <c r="AJ44" s="63" t="s">
        <v>443</v>
      </c>
      <c r="AK44" s="42"/>
      <c r="AL44" s="39"/>
    </row>
    <row r="45" spans="1:45">
      <c r="A45" s="42" t="s">
        <v>412</v>
      </c>
      <c r="B45" s="6" t="s">
        <v>444</v>
      </c>
      <c r="C45" s="6" t="s">
        <v>292</v>
      </c>
      <c r="D45" s="43" t="str">
        <f>IF(Table7[[#This Row],[dataType]]="","",IF(NOT(ISNA(VLOOKUP(Table7[[#This Row],[dataType]], 'dataType Definition'!A:A, 1,FALSE))), "○", "×"))</f>
        <v>○</v>
      </c>
      <c r="E45" s="9"/>
      <c r="F45" s="8"/>
      <c r="G45" s="8"/>
      <c r="H45" s="8" t="s">
        <v>48</v>
      </c>
      <c r="I45" s="8"/>
      <c r="J45" s="8"/>
      <c r="K45" s="39"/>
      <c r="L45" s="8"/>
      <c r="M45" s="8"/>
      <c r="N45" s="8"/>
      <c r="O45" s="8"/>
      <c r="P45" s="8"/>
      <c r="Q45" s="8"/>
      <c r="R45" s="8"/>
      <c r="S45" s="53"/>
      <c r="T45" s="53"/>
      <c r="U45" s="53"/>
      <c r="V45" s="53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25"/>
      <c r="AI45" s="42" t="s">
        <v>445</v>
      </c>
      <c r="AJ45" s="63" t="s">
        <v>446</v>
      </c>
      <c r="AK45" s="42"/>
      <c r="AL45" s="39"/>
    </row>
    <row r="46" spans="1:45">
      <c r="A46" s="42" t="s">
        <v>412</v>
      </c>
      <c r="B46" s="6" t="s">
        <v>447</v>
      </c>
      <c r="C46" s="6" t="s">
        <v>292</v>
      </c>
      <c r="D46" s="43" t="str">
        <f>IF(Table7[[#This Row],[dataType]]="","",IF(NOT(ISNA(VLOOKUP(Table7[[#This Row],[dataType]], 'dataType Definition'!A:A, 1,FALSE))), "○", "×"))</f>
        <v>○</v>
      </c>
      <c r="E46" s="9"/>
      <c r="F46" s="8"/>
      <c r="G46" s="8"/>
      <c r="H46" s="8" t="s">
        <v>48</v>
      </c>
      <c r="I46" s="8"/>
      <c r="J46" s="8"/>
      <c r="K46" s="39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25"/>
      <c r="AI46" s="42" t="s">
        <v>448</v>
      </c>
      <c r="AJ46" s="63" t="s">
        <v>449</v>
      </c>
      <c r="AK46" s="42"/>
      <c r="AL46" s="39"/>
    </row>
    <row r="47" spans="1:45">
      <c r="A47" s="42" t="s">
        <v>412</v>
      </c>
      <c r="B47" s="61" t="s">
        <v>450</v>
      </c>
      <c r="C47" s="42" t="s">
        <v>292</v>
      </c>
      <c r="D47" s="43" t="str">
        <f>IF(Table7[[#This Row],[dataType]]="","",IF(NOT(ISNA(VLOOKUP(Table7[[#This Row],[dataType]], 'dataType Definition'!A:A, 1,FALSE))), "○", "×"))</f>
        <v>○</v>
      </c>
      <c r="E47" s="9"/>
      <c r="F47" s="8"/>
      <c r="G47" s="8"/>
      <c r="H47" s="8" t="s">
        <v>48</v>
      </c>
      <c r="I47" s="8"/>
      <c r="J47" s="8"/>
      <c r="K47" s="39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25"/>
      <c r="AI47" s="61" t="s">
        <v>451</v>
      </c>
      <c r="AJ47" s="61" t="s">
        <v>452</v>
      </c>
      <c r="AK47" s="42"/>
      <c r="AL47" s="39"/>
    </row>
    <row r="48" spans="1:45">
      <c r="A48" s="42" t="s">
        <v>412</v>
      </c>
      <c r="B48" s="6" t="s">
        <v>453</v>
      </c>
      <c r="C48" s="6" t="s">
        <v>292</v>
      </c>
      <c r="D48" s="43" t="str">
        <f>IF(Table7[[#This Row],[dataType]]="","",IF(NOT(ISNA(VLOOKUP(Table7[[#This Row],[dataType]], 'dataType Definition'!A:A, 1,FALSE))), "○", "×"))</f>
        <v>○</v>
      </c>
      <c r="E48" s="9"/>
      <c r="F48" s="8"/>
      <c r="G48" s="8"/>
      <c r="H48" s="8" t="s">
        <v>48</v>
      </c>
      <c r="I48" s="8"/>
      <c r="J48" s="8"/>
      <c r="K48" s="39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25"/>
      <c r="AI48" s="42" t="s">
        <v>454</v>
      </c>
      <c r="AJ48" s="54" t="s">
        <v>455</v>
      </c>
      <c r="AK48" s="42"/>
      <c r="AL48" s="39"/>
    </row>
    <row r="49" spans="1:38">
      <c r="A49" s="42" t="s">
        <v>412</v>
      </c>
      <c r="B49" s="6" t="s">
        <v>456</v>
      </c>
      <c r="C49" s="6" t="s">
        <v>68</v>
      </c>
      <c r="D49" s="43" t="str">
        <f>IF(Table7[[#This Row],[dataType]]="","",IF(NOT(ISNA(VLOOKUP(Table7[[#This Row],[dataType]], 'dataType Definition'!A:A, 1,FALSE))), "○", "×"))</f>
        <v>○</v>
      </c>
      <c r="E49" s="9"/>
      <c r="F49" s="8"/>
      <c r="G49" s="8"/>
      <c r="H49" s="8"/>
      <c r="I49" s="8"/>
      <c r="J49" s="8"/>
      <c r="K49" s="39"/>
      <c r="L49" s="8"/>
      <c r="M49" s="8"/>
      <c r="N49" s="8"/>
      <c r="O49" s="8"/>
      <c r="P49" s="8"/>
      <c r="Q49" s="8"/>
      <c r="R49" s="8"/>
      <c r="S49" s="53"/>
      <c r="T49" s="53"/>
      <c r="U49" s="53"/>
      <c r="V49" s="53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25"/>
      <c r="AI49" s="6" t="s">
        <v>457</v>
      </c>
      <c r="AJ49" s="63" t="s">
        <v>458</v>
      </c>
      <c r="AK49" s="42"/>
      <c r="AL49" s="39"/>
    </row>
    <row r="50" spans="1:38">
      <c r="A50" s="42" t="s">
        <v>459</v>
      </c>
      <c r="B50" s="6" t="s">
        <v>351</v>
      </c>
      <c r="C50" s="6" t="s">
        <v>42</v>
      </c>
      <c r="D50" s="43" t="str">
        <f>IF(Table7[[#This Row],[dataType]]="","",IF(NOT(ISNA(VLOOKUP(Table7[[#This Row],[dataType]], 'dataType Definition'!A:A, 1,FALSE))), "○", "×"))</f>
        <v>○</v>
      </c>
      <c r="E50" s="9"/>
      <c r="F50" s="124" t="s">
        <v>48</v>
      </c>
      <c r="G50" s="8"/>
      <c r="H50" s="8"/>
      <c r="I50" s="8" t="s">
        <v>48</v>
      </c>
      <c r="J50" s="8"/>
      <c r="K50" s="39"/>
      <c r="L50" s="8"/>
      <c r="M50" s="8"/>
      <c r="N50" s="8"/>
      <c r="O50" s="8"/>
      <c r="P50" s="8"/>
      <c r="Q50" s="8"/>
      <c r="R50" s="8"/>
      <c r="S50" s="53"/>
      <c r="T50" s="53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25"/>
      <c r="AI50" s="42" t="s">
        <v>351</v>
      </c>
      <c r="AJ50" s="63" t="s">
        <v>351</v>
      </c>
      <c r="AK50" s="42"/>
      <c r="AL50" s="39"/>
    </row>
    <row r="51" spans="1:38">
      <c r="A51" s="42" t="s">
        <v>459</v>
      </c>
      <c r="B51" s="6" t="s">
        <v>211</v>
      </c>
      <c r="C51" s="6" t="s">
        <v>42</v>
      </c>
      <c r="D51" s="43" t="str">
        <f>IF(Table7[[#This Row],[dataType]]="","",IF(NOT(ISNA(VLOOKUP(Table7[[#This Row],[dataType]], 'dataType Definition'!A:A, 1,FALSE))), "○", "×"))</f>
        <v>○</v>
      </c>
      <c r="E51" s="9"/>
      <c r="F51" s="8"/>
      <c r="G51" s="8"/>
      <c r="H51" s="8"/>
      <c r="I51" s="8"/>
      <c r="J51" s="8"/>
      <c r="K51" s="39"/>
      <c r="L51" s="8"/>
      <c r="M51" s="8"/>
      <c r="N51" s="8"/>
      <c r="O51" s="8" t="s">
        <v>413</v>
      </c>
      <c r="P51" s="8" t="s">
        <v>131</v>
      </c>
      <c r="Q51" s="8" t="s">
        <v>377</v>
      </c>
      <c r="R51" s="8"/>
      <c r="S51" s="8" t="s">
        <v>350</v>
      </c>
      <c r="T51" s="8" t="s">
        <v>351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25"/>
      <c r="AI51" s="6" t="s">
        <v>379</v>
      </c>
      <c r="AJ51" s="63" t="s">
        <v>380</v>
      </c>
      <c r="AK51" s="42"/>
      <c r="AL51" s="39"/>
    </row>
    <row r="52" spans="1:38">
      <c r="A52" s="42" t="s">
        <v>459</v>
      </c>
      <c r="B52" s="6" t="s">
        <v>460</v>
      </c>
      <c r="C52" s="6" t="s">
        <v>292</v>
      </c>
      <c r="D52" s="43" t="str">
        <f>IF(Table7[[#This Row],[dataType]]="","",IF(NOT(ISNA(VLOOKUP(Table7[[#This Row],[dataType]], 'dataType Definition'!A:A, 1,FALSE))), "○", "×"))</f>
        <v>○</v>
      </c>
      <c r="E52" s="9"/>
      <c r="F52" s="8"/>
      <c r="G52" s="124" t="s">
        <v>48</v>
      </c>
      <c r="H52" s="8"/>
      <c r="I52" s="8"/>
      <c r="J52" s="8"/>
      <c r="K52" s="3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25"/>
      <c r="AI52" s="6" t="s">
        <v>461</v>
      </c>
      <c r="AJ52" s="63" t="s">
        <v>462</v>
      </c>
      <c r="AK52" s="42"/>
      <c r="AL52" s="39"/>
    </row>
    <row r="53" spans="1:38">
      <c r="A53" s="42" t="s">
        <v>459</v>
      </c>
      <c r="B53" s="6" t="s">
        <v>355</v>
      </c>
      <c r="C53" s="6" t="s">
        <v>293</v>
      </c>
      <c r="D53" s="43" t="str">
        <f>IF(Table7[[#This Row],[dataType]]="","",IF(NOT(ISNA(VLOOKUP(Table7[[#This Row],[dataType]], 'dataType Definition'!A:A, 1,FALSE))), "○", "×"))</f>
        <v>○</v>
      </c>
      <c r="E53" s="9"/>
      <c r="F53" s="8"/>
      <c r="G53" s="8"/>
      <c r="H53" s="8"/>
      <c r="I53" s="8"/>
      <c r="J53" s="8"/>
      <c r="K53" s="3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25"/>
      <c r="AI53" s="42" t="s">
        <v>356</v>
      </c>
      <c r="AJ53" s="54" t="s">
        <v>463</v>
      </c>
      <c r="AK53" s="42"/>
      <c r="AL53" s="39"/>
    </row>
    <row r="54" spans="1:38">
      <c r="A54" s="42" t="s">
        <v>459</v>
      </c>
      <c r="B54" s="6" t="s">
        <v>420</v>
      </c>
      <c r="C54" s="6" t="s">
        <v>296</v>
      </c>
      <c r="D54" s="43" t="str">
        <f>IF(Table7[[#This Row],[dataType]]="","",IF(NOT(ISNA(VLOOKUP(Table7[[#This Row],[dataType]], 'dataType Definition'!A:A, 1,FALSE))), "○", "×"))</f>
        <v>○</v>
      </c>
      <c r="E54" s="9"/>
      <c r="F54" s="8"/>
      <c r="G54" s="8"/>
      <c r="H54" s="8" t="s">
        <v>48</v>
      </c>
      <c r="I54" s="8"/>
      <c r="J54" s="8"/>
      <c r="K54" s="39"/>
      <c r="L54" s="8"/>
      <c r="M54" s="8"/>
      <c r="N54" s="8"/>
      <c r="O54" s="8"/>
      <c r="P54" s="8"/>
      <c r="Q54" s="8"/>
      <c r="R54" s="8"/>
      <c r="S54" s="53"/>
      <c r="T54" s="53"/>
      <c r="U54" s="53"/>
      <c r="V54" s="53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25"/>
      <c r="AI54" s="6" t="s">
        <v>421</v>
      </c>
      <c r="AJ54" s="63" t="s">
        <v>464</v>
      </c>
      <c r="AK54" s="42"/>
      <c r="AL54" s="39"/>
    </row>
    <row r="55" spans="1:38">
      <c r="A55" s="42" t="s">
        <v>459</v>
      </c>
      <c r="B55" s="6" t="s">
        <v>465</v>
      </c>
      <c r="C55" s="42" t="s">
        <v>68</v>
      </c>
      <c r="D55" s="43" t="str">
        <f>IF(Table7[[#This Row],[dataType]]="","",IF(NOT(ISNA(VLOOKUP(Table7[[#This Row],[dataType]], 'dataType Definition'!A:A, 1,FALSE))), "○", "×"))</f>
        <v>○</v>
      </c>
      <c r="E55" s="9"/>
      <c r="F55" s="8"/>
      <c r="G55" s="8"/>
      <c r="H55" s="8"/>
      <c r="I55" s="8"/>
      <c r="J55" s="8"/>
      <c r="K55" s="39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25"/>
      <c r="AI55" s="42" t="s">
        <v>466</v>
      </c>
      <c r="AJ55" s="42" t="s">
        <v>467</v>
      </c>
      <c r="AK55" s="42"/>
      <c r="AL55" s="39"/>
    </row>
    <row r="56" spans="1:38">
      <c r="A56" s="42" t="s">
        <v>459</v>
      </c>
      <c r="B56" s="42" t="s">
        <v>468</v>
      </c>
      <c r="C56" s="42" t="s">
        <v>52</v>
      </c>
      <c r="D56" s="43" t="str">
        <f>IF(Table7[[#This Row],[dataType]]="","",IF(NOT(ISNA(VLOOKUP(Table7[[#This Row],[dataType]], 'dataType Definition'!A:A, 1,FALSE))), "○", "×"))</f>
        <v>○</v>
      </c>
      <c r="E56" s="9"/>
      <c r="F56" s="8"/>
      <c r="G56" s="8"/>
      <c r="H56" s="8"/>
      <c r="I56" s="8"/>
      <c r="J56" s="8"/>
      <c r="K56" s="39"/>
      <c r="L56" s="8"/>
      <c r="M56" s="8"/>
      <c r="N56" s="8"/>
      <c r="O56" s="8"/>
      <c r="P56" s="8"/>
      <c r="Q56" s="8"/>
      <c r="R56" s="8"/>
      <c r="S56" s="53"/>
      <c r="T56" s="53"/>
      <c r="U56" s="53"/>
      <c r="V56" s="53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25"/>
      <c r="AI56" s="42" t="s">
        <v>469</v>
      </c>
      <c r="AJ56" s="42" t="s">
        <v>55</v>
      </c>
      <c r="AK56" s="42"/>
      <c r="AL56" s="39"/>
    </row>
    <row r="57" spans="1:38">
      <c r="A57" s="42" t="s">
        <v>459</v>
      </c>
      <c r="B57" s="6" t="s">
        <v>470</v>
      </c>
      <c r="C57" s="42" t="s">
        <v>52</v>
      </c>
      <c r="D57" s="43" t="str">
        <f>IF(Table7[[#This Row],[dataType]]="","",IF(NOT(ISNA(VLOOKUP(Table7[[#This Row],[dataType]], 'dataType Definition'!A:A, 1,FALSE))), "○", "×"))</f>
        <v>○</v>
      </c>
      <c r="E57" s="9"/>
      <c r="F57" s="8"/>
      <c r="G57" s="8"/>
      <c r="H57" s="8"/>
      <c r="I57" s="8"/>
      <c r="J57" s="8"/>
      <c r="K57" s="39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25"/>
      <c r="AI57" s="42" t="s">
        <v>471</v>
      </c>
      <c r="AJ57" s="42" t="s">
        <v>472</v>
      </c>
      <c r="AK57" s="42"/>
      <c r="AL57" s="39"/>
    </row>
    <row r="58" spans="1:38">
      <c r="A58" s="42" t="s">
        <v>473</v>
      </c>
      <c r="B58" s="6" t="s">
        <v>351</v>
      </c>
      <c r="C58" s="42" t="s">
        <v>42</v>
      </c>
      <c r="D58" s="43" t="str">
        <f>IF(Table7[[#This Row],[dataType]]="","",IF(NOT(ISNA(VLOOKUP(Table7[[#This Row],[dataType]], 'dataType Definition'!A:A, 1,FALSE))), "○", "×"))</f>
        <v>○</v>
      </c>
      <c r="E58" s="9"/>
      <c r="F58" s="124" t="s">
        <v>48</v>
      </c>
      <c r="G58" s="8"/>
      <c r="H58" s="8"/>
      <c r="I58" s="8" t="s">
        <v>48</v>
      </c>
      <c r="J58" s="8"/>
      <c r="K58" s="39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25"/>
      <c r="AI58" s="42" t="s">
        <v>351</v>
      </c>
      <c r="AJ58" s="63" t="s">
        <v>351</v>
      </c>
      <c r="AK58" s="42"/>
      <c r="AL58" s="39"/>
    </row>
    <row r="59" spans="1:38">
      <c r="A59" s="42" t="s">
        <v>473</v>
      </c>
      <c r="B59" s="6" t="s">
        <v>211</v>
      </c>
      <c r="C59" s="42" t="s">
        <v>42</v>
      </c>
      <c r="D59" s="43" t="str">
        <f>IF(Table7[[#This Row],[dataType]]="","",IF(NOT(ISNA(VLOOKUP(Table7[[#This Row],[dataType]], 'dataType Definition'!A:A, 1,FALSE))), "○", "×"))</f>
        <v>○</v>
      </c>
      <c r="E59" s="9"/>
      <c r="F59" s="8"/>
      <c r="G59" s="8"/>
      <c r="H59" s="8"/>
      <c r="I59" s="8"/>
      <c r="J59" s="8"/>
      <c r="K59" s="39"/>
      <c r="L59" s="8"/>
      <c r="M59" s="8"/>
      <c r="N59" s="8"/>
      <c r="O59" s="8" t="s">
        <v>413</v>
      </c>
      <c r="P59" s="8" t="s">
        <v>131</v>
      </c>
      <c r="Q59" s="8" t="s">
        <v>377</v>
      </c>
      <c r="R59" s="8"/>
      <c r="S59" s="8" t="s">
        <v>350</v>
      </c>
      <c r="T59" s="8" t="s">
        <v>351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25"/>
      <c r="AI59" s="42" t="s">
        <v>379</v>
      </c>
      <c r="AJ59" s="63" t="s">
        <v>380</v>
      </c>
      <c r="AK59" s="42"/>
      <c r="AL59" s="39"/>
    </row>
    <row r="60" spans="1:38">
      <c r="A60" s="42" t="s">
        <v>473</v>
      </c>
      <c r="B60" s="6" t="s">
        <v>474</v>
      </c>
      <c r="C60" s="6" t="s">
        <v>291</v>
      </c>
      <c r="D60" s="43" t="str">
        <f>IF(Table7[[#This Row],[dataType]]="","",IF(NOT(ISNA(VLOOKUP(Table7[[#This Row],[dataType]], 'dataType Definition'!A:A, 1,FALSE))), "○", "×"))</f>
        <v>○</v>
      </c>
      <c r="E60" s="9"/>
      <c r="F60" s="8"/>
      <c r="G60" s="124" t="s">
        <v>48</v>
      </c>
      <c r="H60" s="8"/>
      <c r="I60" s="8"/>
      <c r="J60" s="8"/>
      <c r="K60" s="3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25"/>
      <c r="AI60" s="42" t="s">
        <v>475</v>
      </c>
      <c r="AJ60" s="54" t="s">
        <v>476</v>
      </c>
      <c r="AK60" s="42"/>
      <c r="AL60" s="39"/>
    </row>
    <row r="61" spans="1:38">
      <c r="A61" s="42" t="s">
        <v>473</v>
      </c>
      <c r="B61" s="6" t="s">
        <v>477</v>
      </c>
      <c r="C61" s="6" t="s">
        <v>68</v>
      </c>
      <c r="D61" s="43" t="str">
        <f>IF(Table7[[#This Row],[dataType]]="","",IF(NOT(ISNA(VLOOKUP(Table7[[#This Row],[dataType]], 'dataType Definition'!A:A, 1,FALSE))), "○", "×"))</f>
        <v>○</v>
      </c>
      <c r="E61" s="9"/>
      <c r="F61" s="8"/>
      <c r="G61" s="8"/>
      <c r="H61" s="8"/>
      <c r="I61" s="8"/>
      <c r="J61" s="8"/>
      <c r="K61" s="39"/>
      <c r="L61" s="8"/>
      <c r="M61" s="8"/>
      <c r="N61" s="8"/>
      <c r="O61" s="8"/>
      <c r="P61" s="8"/>
      <c r="Q61" s="8"/>
      <c r="R61" s="8"/>
      <c r="S61" s="53"/>
      <c r="T61" s="53"/>
      <c r="U61" s="53"/>
      <c r="V61" s="53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25"/>
      <c r="AI61" s="6" t="s">
        <v>478</v>
      </c>
      <c r="AJ61" s="63" t="s">
        <v>479</v>
      </c>
      <c r="AK61" s="42"/>
      <c r="AL61" s="39"/>
    </row>
    <row r="62" spans="1:38">
      <c r="A62" s="42" t="s">
        <v>473</v>
      </c>
      <c r="B62" s="42" t="s">
        <v>480</v>
      </c>
      <c r="C62" s="42" t="s">
        <v>295</v>
      </c>
      <c r="D62" s="43" t="str">
        <f>IF(Table7[[#This Row],[dataType]]="","",IF(NOT(ISNA(VLOOKUP(Table7[[#This Row],[dataType]], 'dataType Definition'!A:A, 1,FALSE))), "○", "×"))</f>
        <v>○</v>
      </c>
      <c r="E62" s="9"/>
      <c r="F62" s="8"/>
      <c r="G62" s="8"/>
      <c r="H62" s="8"/>
      <c r="I62" s="8"/>
      <c r="J62" s="8"/>
      <c r="K62" s="39"/>
      <c r="L62" s="8"/>
      <c r="M62" s="8"/>
      <c r="N62" s="8"/>
      <c r="O62" s="8"/>
      <c r="P62" s="8"/>
      <c r="Q62" s="8"/>
      <c r="R62" s="8"/>
      <c r="S62" s="53"/>
      <c r="T62" s="53"/>
      <c r="U62" s="53"/>
      <c r="V62" s="53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25"/>
      <c r="AI62" s="42" t="s">
        <v>481</v>
      </c>
      <c r="AJ62" s="42" t="s">
        <v>482</v>
      </c>
      <c r="AK62" s="42"/>
      <c r="AL62" s="39"/>
    </row>
    <row r="63" spans="1:38">
      <c r="A63" s="42" t="s">
        <v>473</v>
      </c>
      <c r="B63" s="42" t="s">
        <v>468</v>
      </c>
      <c r="C63" s="42" t="s">
        <v>52</v>
      </c>
      <c r="D63" s="43" t="str">
        <f>IF(Table7[[#This Row],[dataType]]="","",IF(NOT(ISNA(VLOOKUP(Table7[[#This Row],[dataType]], 'dataType Definition'!A:A, 1,FALSE))), "○", "×"))</f>
        <v>○</v>
      </c>
      <c r="E63" s="9"/>
      <c r="F63" s="8"/>
      <c r="G63" s="8"/>
      <c r="H63" s="8"/>
      <c r="I63" s="8"/>
      <c r="J63" s="8"/>
      <c r="K63" s="39"/>
      <c r="L63" s="8"/>
      <c r="M63" s="8"/>
      <c r="N63" s="8"/>
      <c r="O63" s="8"/>
      <c r="P63" s="8"/>
      <c r="Q63" s="8"/>
      <c r="R63" s="8"/>
      <c r="S63" s="53"/>
      <c r="T63" s="53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25"/>
      <c r="AI63" s="42" t="s">
        <v>469</v>
      </c>
      <c r="AJ63" s="42" t="s">
        <v>55</v>
      </c>
      <c r="AK63" s="42"/>
      <c r="AL63" s="39"/>
    </row>
    <row r="64" spans="1:38">
      <c r="A64" s="42" t="s">
        <v>473</v>
      </c>
      <c r="B64" s="42" t="s">
        <v>483</v>
      </c>
      <c r="C64" s="42" t="s">
        <v>42</v>
      </c>
      <c r="D64" s="43" t="str">
        <f>IF(Table7[[#This Row],[dataType]]="","",IF(NOT(ISNA(VLOOKUP(Table7[[#This Row],[dataType]], 'dataType Definition'!A:A, 1,FALSE))), "○", "×"))</f>
        <v>○</v>
      </c>
      <c r="E64" s="9"/>
      <c r="F64" s="8"/>
      <c r="G64" s="8"/>
      <c r="H64" s="8" t="s">
        <v>48</v>
      </c>
      <c r="I64" s="8"/>
      <c r="J64" s="8"/>
      <c r="K64" s="39"/>
      <c r="L64" s="8"/>
      <c r="M64" s="8"/>
      <c r="N64" s="8"/>
      <c r="O64" s="8" t="s">
        <v>413</v>
      </c>
      <c r="P64" s="8" t="s">
        <v>131</v>
      </c>
      <c r="Q64" s="8" t="s">
        <v>484</v>
      </c>
      <c r="R64" s="8"/>
      <c r="S64" s="8" t="s">
        <v>459</v>
      </c>
      <c r="T64" s="8" t="s">
        <v>351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25"/>
      <c r="AI64" s="42" t="s">
        <v>485</v>
      </c>
      <c r="AJ64" s="42" t="s">
        <v>486</v>
      </c>
      <c r="AK64" s="42"/>
      <c r="AL64" s="39"/>
    </row>
    <row r="65" spans="1:38" ht="16" customHeight="1">
      <c r="A65" s="42" t="s">
        <v>473</v>
      </c>
      <c r="B65" s="42" t="s">
        <v>487</v>
      </c>
      <c r="C65" s="42" t="s">
        <v>295</v>
      </c>
      <c r="D65" s="43" t="str">
        <f>IF(Table7[[#This Row],[dataType]]="","",IF(NOT(ISNA(VLOOKUP(Table7[[#This Row],[dataType]], 'dataType Definition'!A:A, 1,FALSE))), "○", "×"))</f>
        <v>○</v>
      </c>
      <c r="E65" s="9"/>
      <c r="F65" s="39"/>
      <c r="G65" s="39"/>
      <c r="H65" s="39"/>
      <c r="I65" s="39"/>
      <c r="J65" s="8"/>
      <c r="K65" s="39"/>
      <c r="L65" s="64"/>
      <c r="M65" s="3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39"/>
      <c r="AA65" s="39"/>
      <c r="AB65" s="39"/>
      <c r="AC65" s="39"/>
      <c r="AD65" s="39"/>
      <c r="AE65" s="39"/>
      <c r="AF65" s="39"/>
      <c r="AG65" s="39"/>
      <c r="AH65" s="48"/>
      <c r="AI65" s="42" t="s">
        <v>488</v>
      </c>
      <c r="AJ65" s="6" t="s">
        <v>489</v>
      </c>
      <c r="AK65" s="42"/>
      <c r="AL65" s="39"/>
    </row>
    <row r="66" spans="1:38">
      <c r="A66" s="42" t="s">
        <v>473</v>
      </c>
      <c r="B66" s="42" t="s">
        <v>465</v>
      </c>
      <c r="C66" s="42" t="s">
        <v>68</v>
      </c>
      <c r="D66" s="43" t="str">
        <f>IF(Table7[[#This Row],[dataType]]="","",IF(NOT(ISNA(VLOOKUP(Table7[[#This Row],[dataType]], 'dataType Definition'!A:A, 1,FALSE))), "○", "×"))</f>
        <v>○</v>
      </c>
      <c r="E66" s="9"/>
      <c r="F66" s="39"/>
      <c r="G66" s="39"/>
      <c r="H66" s="39"/>
      <c r="I66" s="39"/>
      <c r="J66" s="8"/>
      <c r="K66" s="39"/>
      <c r="L66" s="8"/>
      <c r="M66" s="3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39"/>
      <c r="AA66" s="39"/>
      <c r="AB66" s="39"/>
      <c r="AC66" s="39"/>
      <c r="AD66" s="39"/>
      <c r="AE66" s="39"/>
      <c r="AF66" s="39"/>
      <c r="AG66" s="39"/>
      <c r="AH66" s="48"/>
      <c r="AI66" s="42" t="s">
        <v>466</v>
      </c>
      <c r="AJ66" s="6" t="s">
        <v>490</v>
      </c>
      <c r="AK66" s="42"/>
      <c r="AL66" s="39"/>
    </row>
    <row r="67" spans="1:38">
      <c r="A67" s="42" t="s">
        <v>473</v>
      </c>
      <c r="B67" s="42" t="s">
        <v>491</v>
      </c>
      <c r="C67" s="42" t="s">
        <v>295</v>
      </c>
      <c r="D67" s="43" t="str">
        <f>IF(Table7[[#This Row],[dataType]]="","",IF(NOT(ISNA(VLOOKUP(Table7[[#This Row],[dataType]], 'dataType Definition'!A:A, 1,FALSE))), "○", "×"))</f>
        <v>○</v>
      </c>
      <c r="E67" s="9"/>
      <c r="F67" s="39"/>
      <c r="G67" s="39"/>
      <c r="H67" s="39"/>
      <c r="I67" s="39"/>
      <c r="J67" s="8"/>
      <c r="K67" s="39"/>
      <c r="L67" s="8"/>
      <c r="M67" s="3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39"/>
      <c r="AA67" s="39"/>
      <c r="AB67" s="39"/>
      <c r="AC67" s="39"/>
      <c r="AD67" s="39"/>
      <c r="AE67" s="39"/>
      <c r="AF67" s="39"/>
      <c r="AG67" s="39"/>
      <c r="AH67" s="48"/>
      <c r="AI67" s="42" t="s">
        <v>492</v>
      </c>
      <c r="AJ67" s="6" t="s">
        <v>493</v>
      </c>
      <c r="AK67" s="42"/>
      <c r="AL67" s="39"/>
    </row>
    <row r="68" spans="1:38" ht="48" customHeight="1">
      <c r="A68" s="42" t="s">
        <v>473</v>
      </c>
      <c r="B68" s="61" t="s">
        <v>494</v>
      </c>
      <c r="C68" s="61" t="s">
        <v>295</v>
      </c>
      <c r="D68" s="43" t="str">
        <f>IF(Table7[[#This Row],[dataType]]="","",IF(NOT(ISNA(VLOOKUP(Table7[[#This Row],[dataType]], 'dataType Definition'!A:A, 1,FALSE))), "○", "×"))</f>
        <v>○</v>
      </c>
      <c r="E68" s="9"/>
      <c r="F68" s="8"/>
      <c r="G68" s="8"/>
      <c r="H68" s="8"/>
      <c r="I68" s="8"/>
      <c r="J68" s="8"/>
      <c r="K68" s="39"/>
      <c r="L68" s="8"/>
      <c r="M68" s="8"/>
      <c r="N68" s="8"/>
      <c r="O68" s="8"/>
      <c r="P68" s="8"/>
      <c r="Q68" s="8"/>
      <c r="R68" s="8"/>
      <c r="S68" s="53"/>
      <c r="T68" s="53"/>
      <c r="U68" s="53"/>
      <c r="V68" s="53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25"/>
      <c r="AI68" s="61" t="s">
        <v>495</v>
      </c>
      <c r="AJ68" s="42" t="s">
        <v>496</v>
      </c>
      <c r="AK68" s="42"/>
      <c r="AL68" s="39"/>
    </row>
    <row r="69" spans="1:38" ht="240" customHeight="1">
      <c r="A69" s="42" t="s">
        <v>473</v>
      </c>
      <c r="B69" s="42" t="s">
        <v>497</v>
      </c>
      <c r="C69" s="42" t="s">
        <v>293</v>
      </c>
      <c r="D69" s="43" t="str">
        <f>IF(Table7[[#This Row],[dataType]]="","",IF(NOT(ISNA(VLOOKUP(Table7[[#This Row],[dataType]], 'dataType Definition'!A:A, 1,FALSE))), "○", "×"))</f>
        <v>○</v>
      </c>
      <c r="E69" s="9"/>
      <c r="F69" s="8"/>
      <c r="G69" s="8"/>
      <c r="H69" s="8"/>
      <c r="I69" s="8"/>
      <c r="J69" s="8"/>
      <c r="K69" s="39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48"/>
      <c r="AI69" s="42" t="s">
        <v>498</v>
      </c>
      <c r="AJ69" s="42" t="s">
        <v>499</v>
      </c>
      <c r="AK69" s="42"/>
      <c r="AL69" s="39"/>
    </row>
    <row r="70" spans="1:38">
      <c r="A70" s="42" t="s">
        <v>473</v>
      </c>
      <c r="B70" s="42" t="s">
        <v>470</v>
      </c>
      <c r="C70" s="42" t="s">
        <v>52</v>
      </c>
      <c r="D70" s="43" t="str">
        <f>IF(Table7[[#This Row],[dataType]]="","",IF(NOT(ISNA(VLOOKUP(Table7[[#This Row],[dataType]], 'dataType Definition'!A:A, 1,FALSE))), "○", "×"))</f>
        <v>○</v>
      </c>
      <c r="E70" s="9"/>
      <c r="F70" s="8"/>
      <c r="G70" s="8"/>
      <c r="H70" s="8"/>
      <c r="I70" s="8"/>
      <c r="J70" s="8"/>
      <c r="K70" s="39"/>
      <c r="L70" s="8"/>
      <c r="M70" s="8"/>
      <c r="N70" s="8"/>
      <c r="O70" s="8"/>
      <c r="P70" s="8"/>
      <c r="Q70" s="8"/>
      <c r="R70" s="8"/>
      <c r="S70" s="53"/>
      <c r="T70" s="53"/>
      <c r="U70" s="53"/>
      <c r="V70" s="53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25"/>
      <c r="AI70" s="42" t="s">
        <v>471</v>
      </c>
      <c r="AJ70" s="42" t="s">
        <v>472</v>
      </c>
      <c r="AK70" s="42"/>
      <c r="AL70" s="39"/>
    </row>
    <row r="71" spans="1:38">
      <c r="A71" s="42" t="s">
        <v>473</v>
      </c>
      <c r="B71" s="42" t="s">
        <v>500</v>
      </c>
      <c r="C71" s="42" t="s">
        <v>299</v>
      </c>
      <c r="D71" s="43" t="str">
        <f>IF(Table7[[#This Row],[dataType]]="","",IF(NOT(ISNA(VLOOKUP(Table7[[#This Row],[dataType]], 'dataType Definition'!A:A, 1,FALSE))), "○", "×"))</f>
        <v>○</v>
      </c>
      <c r="E71" s="9"/>
      <c r="F71" s="8"/>
      <c r="G71" s="8"/>
      <c r="H71" s="8"/>
      <c r="I71" s="8"/>
      <c r="J71" s="8"/>
      <c r="K71" s="39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25"/>
      <c r="AI71" s="42" t="s">
        <v>500</v>
      </c>
      <c r="AJ71" s="42" t="s">
        <v>501</v>
      </c>
      <c r="AK71" s="42"/>
      <c r="AL71" s="39"/>
    </row>
    <row r="72" spans="1:38">
      <c r="A72" s="42" t="s">
        <v>473</v>
      </c>
      <c r="B72" s="42" t="s">
        <v>502</v>
      </c>
      <c r="C72" s="42" t="s">
        <v>42</v>
      </c>
      <c r="D72" s="43" t="str">
        <f>IF(Table7[[#This Row],[dataType]]="","",IF(NOT(ISNA(VLOOKUP(Table7[[#This Row],[dataType]], 'dataType Definition'!A:A, 1,FALSE))), "○", "×"))</f>
        <v>○</v>
      </c>
      <c r="E72" s="9"/>
      <c r="F72" s="8"/>
      <c r="G72" s="8"/>
      <c r="H72" s="8"/>
      <c r="I72" s="8"/>
      <c r="J72" s="8"/>
      <c r="K72" s="39"/>
      <c r="L72" s="8"/>
      <c r="M72" s="8"/>
      <c r="N72" s="8"/>
      <c r="O72" s="8" t="s">
        <v>413</v>
      </c>
      <c r="P72" s="8" t="s">
        <v>131</v>
      </c>
      <c r="Q72" s="8" t="s">
        <v>503</v>
      </c>
      <c r="R72" s="8"/>
      <c r="S72" s="42" t="s">
        <v>412</v>
      </c>
      <c r="T72" s="53" t="s">
        <v>351</v>
      </c>
      <c r="U72" s="53"/>
      <c r="V72" s="53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25"/>
      <c r="AI72" s="42" t="s">
        <v>415</v>
      </c>
      <c r="AJ72" s="42" t="s">
        <v>416</v>
      </c>
      <c r="AK72" s="42"/>
      <c r="AL72" s="39"/>
    </row>
    <row r="73" spans="1:38" ht="48" customHeight="1">
      <c r="A73" s="42" t="s">
        <v>473</v>
      </c>
      <c r="B73" s="42" t="s">
        <v>504</v>
      </c>
      <c r="C73" s="42" t="s">
        <v>295</v>
      </c>
      <c r="D73" s="43" t="str">
        <f>IF(Table7[[#This Row],[dataType]]="","",IF(NOT(ISNA(VLOOKUP(Table7[[#This Row],[dataType]], 'dataType Definition'!A:A, 1,FALSE))), "○", "×"))</f>
        <v>○</v>
      </c>
      <c r="E73" s="9"/>
      <c r="F73" s="8"/>
      <c r="G73" s="8"/>
      <c r="H73" s="8" t="s">
        <v>48</v>
      </c>
      <c r="I73" s="8"/>
      <c r="J73" s="8"/>
      <c r="K73" s="39"/>
      <c r="L73" s="8"/>
      <c r="M73" s="8"/>
      <c r="N73" s="8"/>
      <c r="O73" s="8"/>
      <c r="P73" s="8"/>
      <c r="Q73" s="8"/>
      <c r="R73" s="8"/>
      <c r="S73" s="42"/>
      <c r="T73" s="53"/>
      <c r="U73" s="53"/>
      <c r="V73" s="53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25"/>
      <c r="AI73" s="42" t="s">
        <v>505</v>
      </c>
      <c r="AJ73" s="42" t="s">
        <v>506</v>
      </c>
      <c r="AK73" s="42"/>
      <c r="AL73" s="39"/>
    </row>
    <row r="74" spans="1:38">
      <c r="A74" s="61" t="s">
        <v>473</v>
      </c>
      <c r="B74" s="62" t="s">
        <v>507</v>
      </c>
      <c r="C74" s="62" t="s">
        <v>293</v>
      </c>
      <c r="D74" s="43" t="str">
        <f>IF(Table7[[#This Row],[dataType]]="","",IF(NOT(ISNA(VLOOKUP(Table7[[#This Row],[dataType]], 'dataType Definition'!A:A, 1,FALSE))), "○", "×"))</f>
        <v>○</v>
      </c>
      <c r="E74" s="9"/>
      <c r="F74" s="65"/>
      <c r="G74" s="65"/>
      <c r="H74" s="65" t="s">
        <v>48</v>
      </c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59"/>
      <c r="AI74" s="42" t="s">
        <v>508</v>
      </c>
      <c r="AJ74" s="66" t="s">
        <v>509</v>
      </c>
      <c r="AK74" s="42"/>
      <c r="AL74" s="39"/>
    </row>
    <row r="75" spans="1:38">
      <c r="A75" s="61" t="s">
        <v>473</v>
      </c>
      <c r="B75" s="6" t="s">
        <v>510</v>
      </c>
      <c r="C75" s="6" t="s">
        <v>292</v>
      </c>
      <c r="D75" s="43" t="str">
        <f>IF(Table7[[#This Row],[dataType]]="","",IF(NOT(ISNA(VLOOKUP(Table7[[#This Row],[dataType]], 'dataType Definition'!A:A, 1,FALSE))), "○", "×"))</f>
        <v>○</v>
      </c>
      <c r="E75" s="9"/>
      <c r="F75" s="8"/>
      <c r="G75" s="8"/>
      <c r="H75" s="8" t="s">
        <v>48</v>
      </c>
      <c r="I75" s="8"/>
      <c r="J75" s="8"/>
      <c r="K75" s="39"/>
      <c r="L75" s="8"/>
      <c r="M75" s="8"/>
      <c r="N75" s="8"/>
      <c r="O75" s="8"/>
      <c r="P75" s="8"/>
      <c r="Q75" s="8"/>
      <c r="R75" s="8"/>
      <c r="S75" s="53"/>
      <c r="T75" s="53"/>
      <c r="U75" s="53"/>
      <c r="V75" s="53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25"/>
      <c r="AI75" s="6" t="s">
        <v>511</v>
      </c>
      <c r="AJ75" s="63" t="s">
        <v>512</v>
      </c>
      <c r="AK75" s="42"/>
      <c r="AL75" s="39"/>
    </row>
    <row r="76" spans="1:38">
      <c r="A76" s="61" t="s">
        <v>473</v>
      </c>
      <c r="B76" s="61" t="s">
        <v>513</v>
      </c>
      <c r="C76" s="61" t="s">
        <v>68</v>
      </c>
      <c r="D76" s="43" t="str">
        <f>IF(Table7[[#This Row],[dataType]]="","",IF(NOT(ISNA(VLOOKUP(Table7[[#This Row],[dataType]], 'dataType Definition'!A:A, 1,FALSE))), "○", "×"))</f>
        <v>○</v>
      </c>
      <c r="E76" s="9"/>
      <c r="F76" s="65"/>
      <c r="G76" s="65"/>
      <c r="H76" s="65"/>
      <c r="I76" s="65"/>
      <c r="J76" s="65"/>
      <c r="K76" s="65"/>
      <c r="L76" s="65"/>
      <c r="M76" s="65"/>
      <c r="N76" s="65"/>
      <c r="O76" s="8"/>
      <c r="P76" s="8"/>
      <c r="Q76" s="8"/>
      <c r="R76" s="8"/>
      <c r="S76" s="53"/>
      <c r="T76" s="53"/>
      <c r="U76" s="53"/>
      <c r="V76" s="53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59"/>
      <c r="AI76" s="61" t="s">
        <v>514</v>
      </c>
      <c r="AJ76" s="66" t="s">
        <v>515</v>
      </c>
      <c r="AK76" s="42"/>
      <c r="AL76" s="39"/>
    </row>
    <row r="77" spans="1:38" ht="48" customHeight="1">
      <c r="A77" s="61" t="s">
        <v>516</v>
      </c>
      <c r="B77" s="61" t="s">
        <v>351</v>
      </c>
      <c r="C77" s="61" t="s">
        <v>42</v>
      </c>
      <c r="D77" s="43" t="str">
        <f>IF(Table7[[#This Row],[dataType]]="","",IF(NOT(ISNA(VLOOKUP(Table7[[#This Row],[dataType]], 'dataType Definition'!A:A, 1,FALSE))), "○", "×"))</f>
        <v>○</v>
      </c>
      <c r="E77" s="9"/>
      <c r="F77" s="124" t="s">
        <v>48</v>
      </c>
      <c r="G77" s="8"/>
      <c r="H77" s="8"/>
      <c r="I77" s="8" t="s">
        <v>48</v>
      </c>
      <c r="J77" s="8"/>
      <c r="K77" s="39"/>
      <c r="L77" s="8"/>
      <c r="M77" s="8"/>
      <c r="N77" s="8"/>
      <c r="O77" s="8"/>
      <c r="P77" s="8"/>
      <c r="Q77" s="8"/>
      <c r="R77" s="8"/>
      <c r="S77" s="53"/>
      <c r="T77" s="53"/>
      <c r="U77" s="53"/>
      <c r="V77" s="53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25"/>
      <c r="AI77" s="61" t="s">
        <v>351</v>
      </c>
      <c r="AJ77" s="42" t="s">
        <v>351</v>
      </c>
      <c r="AK77" s="42"/>
      <c r="AL77" s="39"/>
    </row>
    <row r="78" spans="1:38" ht="48" customHeight="1">
      <c r="A78" s="61" t="s">
        <v>516</v>
      </c>
      <c r="B78" s="42" t="s">
        <v>211</v>
      </c>
      <c r="C78" s="42" t="s">
        <v>42</v>
      </c>
      <c r="D78" s="43" t="str">
        <f>IF(Table7[[#This Row],[dataType]]="","",IF(NOT(ISNA(VLOOKUP(Table7[[#This Row],[dataType]], 'dataType Definition'!A:A, 1,FALSE))), "○", "×"))</f>
        <v>○</v>
      </c>
      <c r="E78" s="9"/>
      <c r="F78" s="65"/>
      <c r="G78" s="65"/>
      <c r="H78" s="8"/>
      <c r="I78" s="65"/>
      <c r="J78" s="65"/>
      <c r="K78" s="65"/>
      <c r="L78" s="65"/>
      <c r="M78" s="65"/>
      <c r="N78" s="65"/>
      <c r="O78" s="65" t="s">
        <v>413</v>
      </c>
      <c r="P78" s="65" t="s">
        <v>131</v>
      </c>
      <c r="Q78" s="65" t="s">
        <v>377</v>
      </c>
      <c r="R78" s="65"/>
      <c r="S78" s="65" t="s">
        <v>350</v>
      </c>
      <c r="T78" s="65" t="s">
        <v>351</v>
      </c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25"/>
      <c r="AI78" s="42" t="s">
        <v>379</v>
      </c>
      <c r="AJ78" s="42" t="s">
        <v>380</v>
      </c>
      <c r="AK78" s="42"/>
      <c r="AL78" s="39"/>
    </row>
    <row r="79" spans="1:38">
      <c r="A79" s="61" t="s">
        <v>516</v>
      </c>
      <c r="B79" s="42" t="s">
        <v>355</v>
      </c>
      <c r="C79" s="61" t="s">
        <v>298</v>
      </c>
      <c r="D79" s="43" t="str">
        <f>IF(Table7[[#This Row],[dataType]]="","",IF(NOT(ISNA(VLOOKUP(Table7[[#This Row],[dataType]], 'dataType Definition'!A:A, 1,FALSE))), "○", "×"))</f>
        <v>○</v>
      </c>
      <c r="E79" s="9"/>
      <c r="F79" s="65"/>
      <c r="G79" s="124" t="s">
        <v>48</v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59"/>
      <c r="AI79" s="61" t="s">
        <v>356</v>
      </c>
      <c r="AJ79" s="61" t="s">
        <v>517</v>
      </c>
      <c r="AK79" s="42"/>
      <c r="AL79" s="39"/>
    </row>
    <row r="80" spans="1:38">
      <c r="A80" s="61" t="s">
        <v>518</v>
      </c>
      <c r="B80" s="62" t="s">
        <v>351</v>
      </c>
      <c r="C80" s="61" t="s">
        <v>42</v>
      </c>
      <c r="D80" s="43" t="str">
        <f>IF(Table7[[#This Row],[dataType]]="","",IF(NOT(ISNA(VLOOKUP(Table7[[#This Row],[dataType]], 'dataType Definition'!A:A, 1,FALSE))), "○", "×"))</f>
        <v>○</v>
      </c>
      <c r="E80" s="9"/>
      <c r="F80" s="124" t="s">
        <v>48</v>
      </c>
      <c r="G80" s="65"/>
      <c r="H80" s="65"/>
      <c r="I80" s="65" t="s">
        <v>48</v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59"/>
      <c r="AI80" s="62" t="s">
        <v>351</v>
      </c>
      <c r="AJ80" s="61" t="s">
        <v>351</v>
      </c>
      <c r="AK80" s="42"/>
      <c r="AL80" s="39"/>
    </row>
    <row r="81" spans="1:38">
      <c r="A81" s="61" t="s">
        <v>518</v>
      </c>
      <c r="B81" s="61" t="s">
        <v>211</v>
      </c>
      <c r="C81" s="61" t="s">
        <v>42</v>
      </c>
      <c r="D81" s="43" t="str">
        <f>IF(Table7[[#This Row],[dataType]]="","",IF(NOT(ISNA(VLOOKUP(Table7[[#This Row],[dataType]], 'dataType Definition'!A:A, 1,FALSE))), "○", "×"))</f>
        <v>○</v>
      </c>
      <c r="E81" s="9"/>
      <c r="F81" s="65"/>
      <c r="G81" s="65"/>
      <c r="H81" s="65"/>
      <c r="I81" s="65"/>
      <c r="J81" s="65"/>
      <c r="K81" s="65"/>
      <c r="L81" s="65"/>
      <c r="M81" s="65"/>
      <c r="N81" s="65"/>
      <c r="O81" s="65" t="s">
        <v>413</v>
      </c>
      <c r="P81" s="65" t="s">
        <v>131</v>
      </c>
      <c r="Q81" s="65" t="s">
        <v>377</v>
      </c>
      <c r="R81" s="65"/>
      <c r="S81" s="65" t="s">
        <v>350</v>
      </c>
      <c r="T81" s="65" t="s">
        <v>351</v>
      </c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59"/>
      <c r="AI81" s="61" t="s">
        <v>379</v>
      </c>
      <c r="AJ81" s="61" t="s">
        <v>380</v>
      </c>
      <c r="AK81" s="42"/>
      <c r="AL81" s="39"/>
    </row>
    <row r="82" spans="1:38">
      <c r="A82" s="61" t="s">
        <v>518</v>
      </c>
      <c r="B82" s="61" t="s">
        <v>519</v>
      </c>
      <c r="C82" s="61" t="s">
        <v>42</v>
      </c>
      <c r="D82" s="43" t="str">
        <f>IF(Table7[[#This Row],[dataType]]="","",IF(NOT(ISNA(VLOOKUP(Table7[[#This Row],[dataType]], 'dataType Definition'!A:A, 1,FALSE))), "○", "×"))</f>
        <v>○</v>
      </c>
      <c r="E82" s="9"/>
      <c r="F82" s="65"/>
      <c r="G82" s="124" t="s">
        <v>48</v>
      </c>
      <c r="H82" s="65"/>
      <c r="I82" s="65"/>
      <c r="J82" s="65"/>
      <c r="K82" s="65"/>
      <c r="L82" s="65"/>
      <c r="M82" s="65"/>
      <c r="N82" s="65"/>
      <c r="O82" s="65" t="s">
        <v>413</v>
      </c>
      <c r="P82" s="65" t="s">
        <v>131</v>
      </c>
      <c r="Q82" s="65" t="s">
        <v>520</v>
      </c>
      <c r="R82" s="65"/>
      <c r="S82" s="65" t="s">
        <v>473</v>
      </c>
      <c r="T82" s="65" t="s">
        <v>351</v>
      </c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59"/>
      <c r="AI82" s="61" t="s">
        <v>521</v>
      </c>
      <c r="AJ82" s="61" t="s">
        <v>476</v>
      </c>
      <c r="AK82" s="42"/>
      <c r="AL82" s="39"/>
    </row>
    <row r="83" spans="1:38">
      <c r="A83" s="61" t="s">
        <v>518</v>
      </c>
      <c r="B83" s="61" t="s">
        <v>522</v>
      </c>
      <c r="C83" s="61" t="s">
        <v>42</v>
      </c>
      <c r="D83" s="43" t="str">
        <f>IF(Table7[[#This Row],[dataType]]="","",IF(NOT(ISNA(VLOOKUP(Table7[[#This Row],[dataType]], 'dataType Definition'!A:A, 1,FALSE))), "○", "×"))</f>
        <v>○</v>
      </c>
      <c r="E83" s="9"/>
      <c r="F83" s="65"/>
      <c r="G83" s="124" t="s">
        <v>48</v>
      </c>
      <c r="H83" s="65"/>
      <c r="I83" s="65"/>
      <c r="J83" s="8"/>
      <c r="K83" s="65"/>
      <c r="L83" s="8"/>
      <c r="M83" s="65"/>
      <c r="N83" s="8"/>
      <c r="O83" s="8" t="s">
        <v>413</v>
      </c>
      <c r="P83" s="8" t="s">
        <v>131</v>
      </c>
      <c r="Q83" s="65" t="s">
        <v>523</v>
      </c>
      <c r="R83" s="65"/>
      <c r="S83" s="8" t="s">
        <v>516</v>
      </c>
      <c r="T83" s="8" t="s">
        <v>351</v>
      </c>
      <c r="U83" s="8"/>
      <c r="V83" s="8"/>
      <c r="W83" s="8"/>
      <c r="X83" s="8"/>
      <c r="Y83" s="8"/>
      <c r="Z83" s="65"/>
      <c r="AA83" s="65"/>
      <c r="AB83" s="65"/>
      <c r="AC83" s="65"/>
      <c r="AD83" s="65"/>
      <c r="AE83" s="65"/>
      <c r="AF83" s="65"/>
      <c r="AG83" s="65"/>
      <c r="AH83" s="59"/>
      <c r="AI83" s="42" t="s">
        <v>524</v>
      </c>
      <c r="AJ83" s="66" t="s">
        <v>525</v>
      </c>
      <c r="AK83" s="42"/>
      <c r="AL83" s="39"/>
    </row>
    <row r="84" spans="1:38">
      <c r="A84" s="61" t="s">
        <v>526</v>
      </c>
      <c r="B84" s="6" t="s">
        <v>351</v>
      </c>
      <c r="C84" s="6" t="s">
        <v>42</v>
      </c>
      <c r="D84" s="43" t="str">
        <f>IF(Table7[[#This Row],[dataType]]="","",IF(NOT(ISNA(VLOOKUP(Table7[[#This Row],[dataType]], 'dataType Definition'!A:A, 1,FALSE))), "○", "×"))</f>
        <v>○</v>
      </c>
      <c r="E84" s="9"/>
      <c r="F84" s="124" t="s">
        <v>48</v>
      </c>
      <c r="G84" s="8"/>
      <c r="H84" s="8"/>
      <c r="I84" s="8" t="s">
        <v>48</v>
      </c>
      <c r="J84" s="8"/>
      <c r="K84" s="39"/>
      <c r="L84" s="8"/>
      <c r="M84" s="8"/>
      <c r="N84" s="8"/>
      <c r="O84" s="8"/>
      <c r="P84" s="8"/>
      <c r="Q84" s="8"/>
      <c r="R84" s="8"/>
      <c r="S84" s="53"/>
      <c r="T84" s="53"/>
      <c r="U84" s="53"/>
      <c r="V84" s="53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25"/>
      <c r="AI84" s="6" t="s">
        <v>351</v>
      </c>
      <c r="AJ84" s="63" t="s">
        <v>351</v>
      </c>
      <c r="AK84" s="42"/>
      <c r="AL84" s="39"/>
    </row>
    <row r="85" spans="1:38">
      <c r="A85" s="61" t="s">
        <v>526</v>
      </c>
      <c r="B85" s="61" t="s">
        <v>211</v>
      </c>
      <c r="C85" s="61" t="s">
        <v>42</v>
      </c>
      <c r="D85" s="43" t="str">
        <f>IF(Table7[[#This Row],[dataType]]="","",IF(NOT(ISNA(VLOOKUP(Table7[[#This Row],[dataType]], 'dataType Definition'!A:A, 1,FALSE))), "○", "×"))</f>
        <v>○</v>
      </c>
      <c r="E85" s="9"/>
      <c r="F85" s="65"/>
      <c r="G85" s="65"/>
      <c r="H85" s="65"/>
      <c r="I85" s="65"/>
      <c r="J85" s="8"/>
      <c r="K85" s="65"/>
      <c r="L85" s="8"/>
      <c r="M85" s="65"/>
      <c r="N85" s="8"/>
      <c r="O85" s="8" t="s">
        <v>413</v>
      </c>
      <c r="P85" s="8" t="s">
        <v>131</v>
      </c>
      <c r="Q85" s="8" t="s">
        <v>377</v>
      </c>
      <c r="R85" s="8"/>
      <c r="S85" s="53" t="s">
        <v>350</v>
      </c>
      <c r="T85" s="53" t="s">
        <v>351</v>
      </c>
      <c r="U85" s="53"/>
      <c r="V85" s="53"/>
      <c r="W85" s="8"/>
      <c r="X85" s="8"/>
      <c r="Y85" s="8"/>
      <c r="Z85" s="65"/>
      <c r="AA85" s="65"/>
      <c r="AB85" s="65"/>
      <c r="AC85" s="65"/>
      <c r="AD85" s="65"/>
      <c r="AE85" s="65"/>
      <c r="AF85" s="65"/>
      <c r="AG85" s="65"/>
      <c r="AH85" s="59"/>
      <c r="AI85" s="61" t="s">
        <v>379</v>
      </c>
      <c r="AJ85" s="61" t="s">
        <v>380</v>
      </c>
      <c r="AK85" s="42"/>
      <c r="AL85" s="39"/>
    </row>
    <row r="86" spans="1:38">
      <c r="A86" s="61" t="s">
        <v>526</v>
      </c>
      <c r="B86" s="61" t="s">
        <v>527</v>
      </c>
      <c r="C86" s="61" t="s">
        <v>42</v>
      </c>
      <c r="D86" s="43" t="str">
        <f>IF(Table7[[#This Row],[dataType]]="","",IF(NOT(ISNA(VLOOKUP(Table7[[#This Row],[dataType]], 'dataType Definition'!A:A, 1,FALSE))), "○", "×"))</f>
        <v>○</v>
      </c>
      <c r="E86" s="9"/>
      <c r="F86" s="65"/>
      <c r="G86" s="65"/>
      <c r="H86" s="65"/>
      <c r="I86" s="65"/>
      <c r="J86" s="8"/>
      <c r="K86" s="65"/>
      <c r="L86" s="8"/>
      <c r="M86" s="65"/>
      <c r="N86" s="8"/>
      <c r="O86" s="8" t="s">
        <v>413</v>
      </c>
      <c r="P86" s="8" t="s">
        <v>131</v>
      </c>
      <c r="Q86" s="8" t="s">
        <v>528</v>
      </c>
      <c r="R86" s="8"/>
      <c r="S86" s="53" t="s">
        <v>518</v>
      </c>
      <c r="T86" s="53" t="s">
        <v>351</v>
      </c>
      <c r="U86" s="53"/>
      <c r="V86" s="53"/>
      <c r="W86" s="8"/>
      <c r="X86" s="8"/>
      <c r="Y86" s="8"/>
      <c r="Z86" s="65"/>
      <c r="AA86" s="65"/>
      <c r="AB86" s="65"/>
      <c r="AC86" s="65"/>
      <c r="AD86" s="65"/>
      <c r="AE86" s="65"/>
      <c r="AF86" s="65"/>
      <c r="AG86" s="65"/>
      <c r="AH86" s="59"/>
      <c r="AI86" s="61" t="s">
        <v>529</v>
      </c>
      <c r="AJ86" s="61" t="s">
        <v>530</v>
      </c>
      <c r="AK86" s="42"/>
      <c r="AL86" s="39"/>
    </row>
    <row r="87" spans="1:38">
      <c r="A87" s="42" t="s">
        <v>526</v>
      </c>
      <c r="B87" s="61" t="s">
        <v>531</v>
      </c>
      <c r="C87" s="61" t="s">
        <v>302</v>
      </c>
      <c r="D87" s="43" t="str">
        <f>IF(Table7[[#This Row],[dataType]]="","",IF(NOT(ISNA(VLOOKUP(Table7[[#This Row],[dataType]], 'dataType Definition'!A:A, 1,FALSE))), "○", "×"))</f>
        <v>○</v>
      </c>
      <c r="E87" s="9"/>
      <c r="F87" s="8"/>
      <c r="G87" s="8"/>
      <c r="H87" s="65" t="s">
        <v>48</v>
      </c>
      <c r="I87" s="65"/>
      <c r="J87" s="8"/>
      <c r="K87" s="65"/>
      <c r="L87" s="8"/>
      <c r="M87" s="65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65"/>
      <c r="AA87" s="65"/>
      <c r="AB87" s="65"/>
      <c r="AC87" s="65"/>
      <c r="AD87" s="65"/>
      <c r="AE87" s="65"/>
      <c r="AF87" s="65"/>
      <c r="AG87" s="65"/>
      <c r="AH87" s="59"/>
      <c r="AI87" s="61" t="s">
        <v>532</v>
      </c>
      <c r="AJ87" s="61" t="s">
        <v>533</v>
      </c>
      <c r="AK87" s="42"/>
      <c r="AL87" s="39"/>
    </row>
    <row r="88" spans="1:38">
      <c r="A88" s="42"/>
      <c r="B88" s="6"/>
      <c r="C88" s="6"/>
      <c r="D88" s="43" t="str">
        <f>IF(Table7[[#This Row],[dataType]]="","",IF(NOT(ISNA(VLOOKUP(Table7[[#This Row],[dataType]], 'dataType Definition'!A:A, 1,FALSE))), "○", "×"))</f>
        <v/>
      </c>
      <c r="E88" s="9"/>
      <c r="F88" s="8"/>
      <c r="G88" s="8"/>
      <c r="H88" s="8"/>
      <c r="I88" s="8"/>
      <c r="J88" s="8"/>
      <c r="K88" s="39"/>
      <c r="L88" s="8"/>
      <c r="M88" s="8"/>
      <c r="N88" s="8"/>
      <c r="O88" s="8"/>
      <c r="P88" s="8"/>
      <c r="Q88" s="8"/>
      <c r="R88" s="8"/>
      <c r="S88" s="53"/>
      <c r="T88" s="53"/>
      <c r="U88" s="53"/>
      <c r="V88" s="53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25"/>
      <c r="AI88" s="6"/>
      <c r="AJ88" s="63"/>
      <c r="AK88" s="42"/>
      <c r="AL88" s="39"/>
    </row>
    <row r="89" spans="1:38">
      <c r="A89" s="42"/>
      <c r="B89" s="42"/>
      <c r="C89" s="42"/>
      <c r="D89" s="43" t="str">
        <f>IF(Table7[[#This Row],[dataType]]="","",IF(NOT(ISNA(VLOOKUP(Table7[[#This Row],[dataType]], 'dataType Definition'!A:A, 1,FALSE))), "○", "×"))</f>
        <v/>
      </c>
      <c r="E89" s="9"/>
      <c r="F89" s="65"/>
      <c r="G89" s="65"/>
      <c r="H89" s="39"/>
      <c r="I89" s="39"/>
      <c r="J89" s="8"/>
      <c r="K89" s="39"/>
      <c r="L89" s="8"/>
      <c r="M89" s="39"/>
      <c r="N89" s="8"/>
      <c r="O89" s="8"/>
      <c r="P89" s="8"/>
      <c r="Q89" s="8"/>
      <c r="R89" s="8"/>
      <c r="S89" s="53"/>
      <c r="T89" s="53"/>
      <c r="U89" s="8"/>
      <c r="V89" s="8"/>
      <c r="W89" s="8"/>
      <c r="X89" s="8"/>
      <c r="Y89" s="8"/>
      <c r="Z89" s="39"/>
      <c r="AA89" s="39"/>
      <c r="AB89" s="39"/>
      <c r="AC89" s="39"/>
      <c r="AD89" s="39"/>
      <c r="AE89" s="39"/>
      <c r="AF89" s="39"/>
      <c r="AG89" s="39"/>
      <c r="AH89" s="48"/>
      <c r="AI89" s="42"/>
      <c r="AJ89" s="6"/>
      <c r="AK89" s="42"/>
      <c r="AL89" s="39"/>
    </row>
    <row r="90" spans="1:38">
      <c r="A90" s="42"/>
      <c r="B90" s="42"/>
      <c r="C90" s="6"/>
      <c r="D90" s="43" t="str">
        <f>IF(Table7[[#This Row],[dataType]]="","",IF(NOT(ISNA(VLOOKUP(Table7[[#This Row],[dataType]], 'dataType Definition'!A:A, 1,FALSE))), "○", "×"))</f>
        <v/>
      </c>
      <c r="E90" s="9"/>
      <c r="F90" s="65"/>
      <c r="G90" s="65"/>
      <c r="H90" s="65"/>
      <c r="I90" s="8"/>
      <c r="J90" s="8"/>
      <c r="K90" s="39"/>
      <c r="L90" s="8"/>
      <c r="M90" s="8"/>
      <c r="N90" s="8"/>
      <c r="O90" s="8"/>
      <c r="P90" s="8"/>
      <c r="Q90" s="8"/>
      <c r="R90" s="8"/>
      <c r="S90" s="42"/>
      <c r="T90" s="53"/>
      <c r="U90" s="42"/>
      <c r="V90" s="42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25"/>
      <c r="AI90" s="42"/>
      <c r="AJ90" s="42"/>
      <c r="AK90" s="42"/>
      <c r="AL90" s="39"/>
    </row>
  </sheetData>
  <dataValidations count="4">
    <dataValidation type="list" allowBlank="1" showInputMessage="1" showErrorMessage="1" sqref="O6:O90" xr:uid="{00000000-0002-0000-0700-000000000000}">
      <formula1>"@ManyToOne,@OneToOne"</formula1>
    </dataValidation>
    <dataValidation type="list" allowBlank="1" showInputMessage="1" showErrorMessage="1" sqref="P6:P90" xr:uid="{00000000-0002-0000-0700-000001000000}">
      <formula1>"unidirectional,bidirectional"</formula1>
    </dataValidation>
    <dataValidation type="list" allowBlank="1" showInputMessage="1" showErrorMessage="1" sqref="W6:W90 E6:E90 G84:G90 F6:F17 F19 F21:F22 F24:F31 H6:M90 G6:G33 F33:F49 G35:G51 F51:F57 G53:G59 F59:F76 G61:G78 F78:F79 G80:G81 F81:F83 F85:F90" xr:uid="{00000000-0002-0000-0700-000002000000}">
      <formula1>"○"</formula1>
    </dataValidation>
    <dataValidation type="list" allowBlank="1" showInputMessage="1" showErrorMessage="1" sqref="N6:N90" xr:uid="{00000000-0002-0000-0700-000003000000}">
      <formula1>"CB,CD,LB,LD"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90"/>
  <sheetViews>
    <sheetView topLeftCell="O1" zoomScaleNormal="100" zoomScaleSheetLayoutView="80" workbookViewId="0">
      <pane ySplit="5" topLeftCell="A6" activePane="bottomLeft" state="frozen"/>
      <selection activeCell="I9" sqref="I9"/>
      <selection pane="bottomLeft" activeCell="V9" sqref="V9"/>
    </sheetView>
  </sheetViews>
  <sheetFormatPr baseColWidth="10" defaultColWidth="8.83203125" defaultRowHeight="15" outlineLevelCol="2"/>
  <cols>
    <col min="1" max="1" width="39.1640625" style="35" bestFit="1" customWidth="1"/>
    <col min="2" max="2" width="27.83203125" style="35" customWidth="1"/>
    <col min="3" max="3" width="36" style="35" bestFit="1" customWidth="1"/>
    <col min="4" max="4" width="16.5" style="35" customWidth="1" outlineLevel="1"/>
    <col min="5" max="5" width="9.5" style="35" customWidth="1" outlineLevel="2"/>
    <col min="6" max="6" width="10.83203125" style="36" customWidth="1" outlineLevel="2"/>
    <col min="7" max="7" width="11.5" style="37" customWidth="1" outlineLevel="2"/>
    <col min="8" max="8" width="8.83203125" style="37" customWidth="1" outlineLevel="2"/>
    <col min="9" max="10" width="8.33203125" style="37" customWidth="1" outlineLevel="2"/>
    <col min="11" max="12" width="8.5" style="37" customWidth="1" outlineLevel="2"/>
    <col min="13" max="13" width="9.33203125" style="37" customWidth="1" outlineLevel="2"/>
    <col min="14" max="14" width="8.5" style="37" customWidth="1" outlineLevel="1"/>
    <col min="15" max="16" width="18.33203125" style="37" customWidth="1" outlineLevel="2"/>
    <col min="17" max="18" width="29.5" style="37" customWidth="1" outlineLevel="2"/>
    <col min="19" max="19" width="29" style="37" customWidth="1" outlineLevel="2"/>
    <col min="20" max="22" width="18.33203125" style="37" customWidth="1" outlineLevel="2"/>
    <col min="23" max="23" width="17.1640625" style="37" bestFit="1" customWidth="1" outlineLevel="1"/>
    <col min="24" max="25" width="9.1640625" style="37" hidden="1" customWidth="1" outlineLevel="2"/>
    <col min="26" max="26" width="9.33203125" style="37" hidden="1" customWidth="1" outlineLevel="2"/>
    <col min="27" max="27" width="37.5" style="35" hidden="1" customWidth="1" outlineLevel="2"/>
    <col min="28" max="33" width="19.33203125" style="38" hidden="1" customWidth="1" outlineLevel="2"/>
    <col min="34" max="34" width="19.33203125" style="38" customWidth="1" outlineLevel="1" collapsed="1"/>
    <col min="35" max="38" width="19.33203125" style="38" customWidth="1"/>
  </cols>
  <sheetData>
    <row r="1" spans="1:38">
      <c r="A1" s="7" t="s">
        <v>0</v>
      </c>
    </row>
    <row r="2" spans="1:38" ht="16" customHeight="1">
      <c r="AI2" s="71" t="s">
        <v>1</v>
      </c>
      <c r="AJ2" s="71" t="s">
        <v>2</v>
      </c>
      <c r="AK2" s="71" t="s">
        <v>3</v>
      </c>
      <c r="AL2" s="71" t="s">
        <v>4</v>
      </c>
    </row>
    <row r="3" spans="1:38">
      <c r="A3" s="52"/>
      <c r="AI3" s="32" t="str">
        <f>IF('General Settings'!$G$11=0,"",'General Settings'!$G$11)</f>
        <v>en</v>
      </c>
      <c r="AJ3" s="32" t="str">
        <f>IF('General Settings'!$G$12=0,"",'General Settings'!$G$12)</f>
        <v>ja</v>
      </c>
      <c r="AK3" s="32" t="str">
        <f>IF('General Settings'!$G$13=0,"",'General Settings'!$G$13)</f>
        <v/>
      </c>
      <c r="AL3" s="32" t="str">
        <f>IF('General Settings'!$G$14=0,"",'General Settings'!$G$14)</f>
        <v/>
      </c>
    </row>
    <row r="4" spans="1:38">
      <c r="A4" s="34"/>
    </row>
    <row r="5" spans="1:38" s="1" customFormat="1" ht="43" customHeight="1">
      <c r="A5" s="101" t="s">
        <v>5</v>
      </c>
      <c r="B5" s="39" t="s">
        <v>6</v>
      </c>
      <c r="C5" s="39" t="s">
        <v>7</v>
      </c>
      <c r="D5" s="72" t="s">
        <v>8</v>
      </c>
      <c r="E5" s="39" t="s">
        <v>9</v>
      </c>
      <c r="F5" s="73" t="s">
        <v>10</v>
      </c>
      <c r="G5" s="73" t="s">
        <v>11</v>
      </c>
      <c r="H5" s="73" t="s">
        <v>12</v>
      </c>
      <c r="I5" s="73" t="s">
        <v>13</v>
      </c>
      <c r="J5" s="74" t="s">
        <v>14</v>
      </c>
      <c r="K5" s="73" t="s">
        <v>15</v>
      </c>
      <c r="L5" s="74" t="s">
        <v>16</v>
      </c>
      <c r="M5" s="74" t="s">
        <v>17</v>
      </c>
      <c r="N5" s="74" t="s">
        <v>18</v>
      </c>
      <c r="O5" s="74" t="s">
        <v>19</v>
      </c>
      <c r="P5" s="74" t="s">
        <v>20</v>
      </c>
      <c r="Q5" s="74" t="s">
        <v>21</v>
      </c>
      <c r="R5" s="74" t="s">
        <v>562</v>
      </c>
      <c r="S5" s="74" t="s">
        <v>22</v>
      </c>
      <c r="T5" s="74" t="s">
        <v>23</v>
      </c>
      <c r="U5" s="74" t="s">
        <v>24</v>
      </c>
      <c r="V5" s="74" t="s">
        <v>563</v>
      </c>
      <c r="W5" s="74" t="s">
        <v>25</v>
      </c>
      <c r="X5" s="107" t="s">
        <v>26</v>
      </c>
      <c r="Y5" s="107" t="s">
        <v>27</v>
      </c>
      <c r="Z5" s="107" t="s">
        <v>28</v>
      </c>
      <c r="AA5" s="107" t="s">
        <v>29</v>
      </c>
      <c r="AB5" s="107" t="s">
        <v>30</v>
      </c>
      <c r="AC5" s="107" t="s">
        <v>31</v>
      </c>
      <c r="AD5" s="107" t="s">
        <v>32</v>
      </c>
      <c r="AE5" s="107" t="s">
        <v>33</v>
      </c>
      <c r="AF5" s="107" t="s">
        <v>34</v>
      </c>
      <c r="AG5" s="107" t="s">
        <v>35</v>
      </c>
      <c r="AH5" s="74" t="s">
        <v>36</v>
      </c>
      <c r="AI5" s="73" t="s">
        <v>37</v>
      </c>
      <c r="AJ5" s="75" t="s">
        <v>38</v>
      </c>
      <c r="AK5" s="75" t="s">
        <v>39</v>
      </c>
      <c r="AL5" s="75" t="s">
        <v>40</v>
      </c>
    </row>
    <row r="6" spans="1:38" s="1" customFormat="1">
      <c r="A6" s="79"/>
      <c r="B6" s="81" t="s">
        <v>41</v>
      </c>
      <c r="C6" s="80" t="s">
        <v>42</v>
      </c>
      <c r="D6" s="123" t="str">
        <f>IF(Table74[[#This Row],[dataType]]="","",IF(NOT(ISNA(VLOOKUP(Table74[[#This Row],[dataType]], 'dataType Definition'!A:A, 1,FALSE))), "○", "×"))</f>
        <v>○</v>
      </c>
      <c r="E6" s="82"/>
      <c r="F6" s="8"/>
      <c r="G6" s="8"/>
      <c r="H6" s="8"/>
      <c r="I6" s="84"/>
      <c r="J6" s="84"/>
      <c r="K6" s="85"/>
      <c r="L6" s="86"/>
      <c r="M6" s="81"/>
      <c r="N6" s="87" t="s">
        <v>43</v>
      </c>
      <c r="O6" s="87"/>
      <c r="P6" s="87"/>
      <c r="Q6" s="87"/>
      <c r="R6" s="87"/>
      <c r="S6" s="85"/>
      <c r="T6" s="85"/>
      <c r="U6" s="57"/>
      <c r="V6" s="57"/>
      <c r="W6" s="91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102"/>
      <c r="AI6" s="80" t="s">
        <v>44</v>
      </c>
      <c r="AJ6" s="54" t="s">
        <v>45</v>
      </c>
      <c r="AK6" s="42"/>
      <c r="AL6" s="39"/>
    </row>
    <row r="7" spans="1:38" s="1" customFormat="1">
      <c r="A7" s="88"/>
      <c r="B7" s="90" t="s">
        <v>46</v>
      </c>
      <c r="C7" s="89" t="s">
        <v>47</v>
      </c>
      <c r="D7" s="123" t="str">
        <f>IF(Table74[[#This Row],[dataType]]="","",IF(NOT(ISNA(VLOOKUP(Table74[[#This Row],[dataType]], 'dataType Definition'!A:A, 1,FALSE))), "○", "×"))</f>
        <v>○</v>
      </c>
      <c r="E7" s="91" t="s">
        <v>48</v>
      </c>
      <c r="F7" s="8"/>
      <c r="G7" s="8"/>
      <c r="H7" s="8"/>
      <c r="I7" s="92"/>
      <c r="J7" s="92"/>
      <c r="K7" s="57"/>
      <c r="L7" s="92"/>
      <c r="M7" s="57"/>
      <c r="N7" s="47"/>
      <c r="O7" s="47"/>
      <c r="P7" s="47"/>
      <c r="Q7" s="47"/>
      <c r="R7" s="47"/>
      <c r="S7" s="57"/>
      <c r="T7" s="57"/>
      <c r="U7" s="57"/>
      <c r="V7" s="57"/>
      <c r="W7" s="91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103"/>
      <c r="AI7" s="89" t="s">
        <v>49</v>
      </c>
      <c r="AJ7" s="54" t="s">
        <v>50</v>
      </c>
      <c r="AK7" s="42"/>
      <c r="AL7" s="39"/>
    </row>
    <row r="8" spans="1:38" s="1" customFormat="1">
      <c r="A8" s="79"/>
      <c r="B8" s="81" t="s">
        <v>51</v>
      </c>
      <c r="C8" s="93" t="s">
        <v>52</v>
      </c>
      <c r="D8" s="123" t="str">
        <f>IF(Table74[[#This Row],[dataType]]="","",IF(NOT(ISNA(VLOOKUP(Table74[[#This Row],[dataType]], 'dataType Definition'!A:A, 1,FALSE))), "○", "×"))</f>
        <v>○</v>
      </c>
      <c r="E8" s="82"/>
      <c r="F8" s="8"/>
      <c r="G8" s="8"/>
      <c r="H8" s="8"/>
      <c r="I8" s="82" t="s">
        <v>48</v>
      </c>
      <c r="J8" s="82" t="s">
        <v>48</v>
      </c>
      <c r="K8" s="85"/>
      <c r="L8" s="86"/>
      <c r="M8" s="81"/>
      <c r="N8" s="87" t="s">
        <v>53</v>
      </c>
      <c r="O8" s="87"/>
      <c r="P8" s="87"/>
      <c r="Q8" s="87"/>
      <c r="R8" s="87"/>
      <c r="S8" s="94"/>
      <c r="T8" s="94"/>
      <c r="U8" s="104"/>
      <c r="V8" s="104"/>
      <c r="W8" s="91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105"/>
      <c r="AI8" s="80" t="s">
        <v>54</v>
      </c>
      <c r="AJ8" s="54" t="s">
        <v>55</v>
      </c>
      <c r="AK8" s="42"/>
      <c r="AL8" s="39"/>
    </row>
    <row r="9" spans="1:38">
      <c r="A9" s="88"/>
      <c r="B9" s="97" t="s">
        <v>56</v>
      </c>
      <c r="C9" s="89" t="s">
        <v>42</v>
      </c>
      <c r="D9" s="123" t="str">
        <f>IF(Table74[[#This Row],[dataType]]="","",IF(NOT(ISNA(VLOOKUP(Table74[[#This Row],[dataType]], 'dataType Definition'!A:A, 1,FALSE))), "○", "×"))</f>
        <v>○</v>
      </c>
      <c r="E9" s="91"/>
      <c r="F9" s="8"/>
      <c r="G9" s="8"/>
      <c r="H9" s="8"/>
      <c r="I9" s="91"/>
      <c r="J9" s="91"/>
      <c r="K9" s="47"/>
      <c r="L9" s="98"/>
      <c r="M9" s="99"/>
      <c r="N9" s="47" t="s">
        <v>57</v>
      </c>
      <c r="O9" s="47"/>
      <c r="P9" s="47"/>
      <c r="Q9" s="47"/>
      <c r="R9" s="47"/>
      <c r="S9" s="47"/>
      <c r="T9" s="47"/>
      <c r="U9" s="47"/>
      <c r="V9" s="47"/>
      <c r="W9" s="91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106"/>
      <c r="AI9" s="96" t="s">
        <v>58</v>
      </c>
      <c r="AJ9" s="120" t="s">
        <v>59</v>
      </c>
      <c r="AK9" s="42"/>
      <c r="AL9" s="39"/>
    </row>
    <row r="10" spans="1:38">
      <c r="A10" s="79"/>
      <c r="B10" s="100" t="s">
        <v>60</v>
      </c>
      <c r="C10" s="80" t="s">
        <v>47</v>
      </c>
      <c r="D10" s="123" t="str">
        <f>IF(Table74[[#This Row],[dataType]]="","",IF(NOT(ISNA(VLOOKUP(Table74[[#This Row],[dataType]], 'dataType Definition'!A:A, 1,FALSE))), "○", "×"))</f>
        <v>○</v>
      </c>
      <c r="E10" s="82" t="s">
        <v>48</v>
      </c>
      <c r="F10" s="8"/>
      <c r="G10" s="8"/>
      <c r="H10" s="8"/>
      <c r="I10" s="82"/>
      <c r="J10" s="82"/>
      <c r="K10" s="87"/>
      <c r="L10" s="83"/>
      <c r="M10" s="95"/>
      <c r="N10" s="87"/>
      <c r="O10" s="87"/>
      <c r="P10" s="87"/>
      <c r="Q10" s="87"/>
      <c r="R10" s="87"/>
      <c r="S10" s="87"/>
      <c r="T10" s="87"/>
      <c r="U10" s="47"/>
      <c r="V10" s="47"/>
      <c r="W10" s="91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106"/>
      <c r="AI10" s="93" t="s">
        <v>61</v>
      </c>
      <c r="AJ10" s="120" t="s">
        <v>62</v>
      </c>
      <c r="AK10" s="42"/>
      <c r="AL10" s="39"/>
    </row>
    <row r="11" spans="1:38">
      <c r="A11" s="88"/>
      <c r="B11" s="96" t="s">
        <v>63</v>
      </c>
      <c r="C11" s="96" t="s">
        <v>52</v>
      </c>
      <c r="D11" s="123" t="str">
        <f>IF(Table74[[#This Row],[dataType]]="","",IF(NOT(ISNA(VLOOKUP(Table74[[#This Row],[dataType]], 'dataType Definition'!A:A, 1,FALSE))), "○", "×"))</f>
        <v>○</v>
      </c>
      <c r="E11" s="91"/>
      <c r="F11" s="8"/>
      <c r="G11" s="8"/>
      <c r="H11" s="8"/>
      <c r="I11" s="91" t="s">
        <v>48</v>
      </c>
      <c r="J11" s="91" t="s">
        <v>48</v>
      </c>
      <c r="K11" s="91" t="s">
        <v>48</v>
      </c>
      <c r="L11" s="91" t="s">
        <v>48</v>
      </c>
      <c r="M11" s="47"/>
      <c r="N11" s="47" t="s">
        <v>64</v>
      </c>
      <c r="O11" s="47"/>
      <c r="P11" s="47"/>
      <c r="Q11" s="47"/>
      <c r="R11" s="47"/>
      <c r="S11" s="47"/>
      <c r="T11" s="47"/>
      <c r="U11" s="47"/>
      <c r="V11" s="47"/>
      <c r="W11" s="91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106"/>
      <c r="AI11" s="96" t="s">
        <v>65</v>
      </c>
      <c r="AJ11" s="120" t="s">
        <v>66</v>
      </c>
      <c r="AK11" s="42"/>
      <c r="AL11" s="39"/>
    </row>
    <row r="12" spans="1:38">
      <c r="A12" s="79"/>
      <c r="B12" s="93" t="s">
        <v>67</v>
      </c>
      <c r="C12" s="93" t="s">
        <v>68</v>
      </c>
      <c r="D12" s="123" t="str">
        <f>IF(Table74[[#This Row],[dataType]]="","",IF(NOT(ISNA(VLOOKUP(Table74[[#This Row],[dataType]], 'dataType Definition'!A:A, 1,FALSE))), "○", "×"))</f>
        <v>○</v>
      </c>
      <c r="E12" s="82"/>
      <c r="F12" s="8"/>
      <c r="G12" s="8"/>
      <c r="H12" s="8"/>
      <c r="I12" s="82" t="s">
        <v>48</v>
      </c>
      <c r="J12" s="82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47"/>
      <c r="V12" s="47"/>
      <c r="W12" s="91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106"/>
      <c r="AI12" s="93" t="s">
        <v>69</v>
      </c>
      <c r="AJ12" s="120" t="s">
        <v>70</v>
      </c>
      <c r="AK12" s="42"/>
      <c r="AL12" s="39"/>
    </row>
    <row r="13" spans="1:38">
      <c r="A13" s="88"/>
      <c r="B13" s="96" t="s">
        <v>71</v>
      </c>
      <c r="C13" s="96" t="s">
        <v>72</v>
      </c>
      <c r="D13" s="123" t="str">
        <f>IF(Table74[[#This Row],[dataType]]="","",IF(NOT(ISNA(VLOOKUP(Table74[[#This Row],[dataType]], 'dataType Definition'!A:A, 1,FALSE))), "○", "×"))</f>
        <v>○</v>
      </c>
      <c r="E13" s="91"/>
      <c r="F13" s="8"/>
      <c r="G13" s="8"/>
      <c r="H13" s="8"/>
      <c r="I13" s="91"/>
      <c r="J13" s="91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91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106"/>
      <c r="AI13" s="96" t="s">
        <v>73</v>
      </c>
      <c r="AJ13" s="51" t="s">
        <v>74</v>
      </c>
      <c r="AK13" s="42"/>
      <c r="AL13" s="39"/>
    </row>
    <row r="14" spans="1:38">
      <c r="H14" s="8"/>
    </row>
    <row r="15" spans="1:38">
      <c r="H15" s="8"/>
    </row>
    <row r="16" spans="1:38">
      <c r="H16" s="8"/>
    </row>
    <row r="17" spans="8:8">
      <c r="H17" s="8"/>
    </row>
    <row r="18" spans="8:8">
      <c r="H18" s="8"/>
    </row>
    <row r="19" spans="8:8">
      <c r="H19" s="8"/>
    </row>
    <row r="20" spans="8:8">
      <c r="H20" s="8"/>
    </row>
    <row r="21" spans="8:8">
      <c r="H21" s="8"/>
    </row>
    <row r="22" spans="8:8">
      <c r="H22" s="9"/>
    </row>
    <row r="23" spans="8:8">
      <c r="H23" s="8"/>
    </row>
    <row r="24" spans="8:8">
      <c r="H24" s="8"/>
    </row>
    <row r="25" spans="8:8">
      <c r="H25" s="8"/>
    </row>
    <row r="26" spans="8:8">
      <c r="H26" s="8"/>
    </row>
    <row r="27" spans="8:8">
      <c r="H27" s="8"/>
    </row>
    <row r="28" spans="8:8">
      <c r="H28" s="8"/>
    </row>
    <row r="29" spans="8:8">
      <c r="H29" s="8" t="s">
        <v>48</v>
      </c>
    </row>
    <row r="30" spans="8:8">
      <c r="H30" s="8" t="s">
        <v>48</v>
      </c>
    </row>
    <row r="31" spans="8:8">
      <c r="H31" s="8"/>
    </row>
    <row r="32" spans="8:8">
      <c r="H32" s="8"/>
    </row>
    <row r="33" spans="8:8">
      <c r="H33" s="8"/>
    </row>
    <row r="34" spans="8:8">
      <c r="H34" s="8"/>
    </row>
    <row r="35" spans="8:8">
      <c r="H35" s="8"/>
    </row>
    <row r="36" spans="8:8">
      <c r="H36" s="8" t="s">
        <v>48</v>
      </c>
    </row>
    <row r="37" spans="8:8">
      <c r="H37" s="8" t="s">
        <v>48</v>
      </c>
    </row>
    <row r="38" spans="8:8">
      <c r="H38" s="8" t="s">
        <v>48</v>
      </c>
    </row>
    <row r="39" spans="8:8">
      <c r="H39" s="8" t="s">
        <v>48</v>
      </c>
    </row>
    <row r="40" spans="8:8">
      <c r="H40" s="8"/>
    </row>
    <row r="41" spans="8:8">
      <c r="H41" s="8"/>
    </row>
    <row r="42" spans="8:8">
      <c r="H42" s="8"/>
    </row>
    <row r="43" spans="8:8">
      <c r="H43" s="8" t="s">
        <v>48</v>
      </c>
    </row>
    <row r="44" spans="8:8">
      <c r="H44" s="8" t="s">
        <v>48</v>
      </c>
    </row>
    <row r="45" spans="8:8">
      <c r="H45" s="8" t="s">
        <v>48</v>
      </c>
    </row>
    <row r="46" spans="8:8">
      <c r="H46" s="8" t="s">
        <v>48</v>
      </c>
    </row>
    <row r="47" spans="8:8">
      <c r="H47" s="8" t="s">
        <v>48</v>
      </c>
    </row>
    <row r="48" spans="8:8">
      <c r="H48" s="8" t="s">
        <v>48</v>
      </c>
    </row>
    <row r="49" spans="8:8">
      <c r="H49" s="8"/>
    </row>
    <row r="50" spans="8:8">
      <c r="H50" s="8"/>
    </row>
    <row r="51" spans="8:8">
      <c r="H51" s="8"/>
    </row>
    <row r="52" spans="8:8">
      <c r="H52" s="8"/>
    </row>
    <row r="53" spans="8:8">
      <c r="H53" s="8"/>
    </row>
    <row r="54" spans="8:8">
      <c r="H54" s="8" t="s">
        <v>48</v>
      </c>
    </row>
    <row r="55" spans="8:8">
      <c r="H55" s="8"/>
    </row>
    <row r="56" spans="8:8">
      <c r="H56" s="8"/>
    </row>
    <row r="57" spans="8:8">
      <c r="H57" s="8"/>
    </row>
    <row r="58" spans="8:8">
      <c r="H58" s="8"/>
    </row>
    <row r="59" spans="8:8">
      <c r="H59" s="8"/>
    </row>
    <row r="60" spans="8:8">
      <c r="H60" s="8"/>
    </row>
    <row r="61" spans="8:8">
      <c r="H61" s="8"/>
    </row>
    <row r="62" spans="8:8">
      <c r="H62" s="8"/>
    </row>
    <row r="63" spans="8:8">
      <c r="H63" s="8"/>
    </row>
    <row r="64" spans="8:8">
      <c r="H64" s="8" t="s">
        <v>48</v>
      </c>
    </row>
    <row r="65" spans="8:8">
      <c r="H65" s="39"/>
    </row>
    <row r="66" spans="8:8">
      <c r="H66" s="39"/>
    </row>
    <row r="67" spans="8:8">
      <c r="H67" s="39"/>
    </row>
    <row r="68" spans="8:8">
      <c r="H68" s="8"/>
    </row>
    <row r="69" spans="8:8">
      <c r="H69" s="8"/>
    </row>
    <row r="70" spans="8:8">
      <c r="H70" s="8"/>
    </row>
    <row r="71" spans="8:8">
      <c r="H71" s="8"/>
    </row>
    <row r="72" spans="8:8">
      <c r="H72" s="8"/>
    </row>
    <row r="73" spans="8:8">
      <c r="H73" s="8" t="s">
        <v>48</v>
      </c>
    </row>
    <row r="74" spans="8:8">
      <c r="H74" s="65" t="s">
        <v>48</v>
      </c>
    </row>
    <row r="75" spans="8:8">
      <c r="H75" s="8" t="s">
        <v>48</v>
      </c>
    </row>
    <row r="76" spans="8:8">
      <c r="H76" s="65"/>
    </row>
    <row r="77" spans="8:8">
      <c r="H77" s="8"/>
    </row>
    <row r="78" spans="8:8">
      <c r="H78" s="8"/>
    </row>
    <row r="79" spans="8:8">
      <c r="H79" s="65"/>
    </row>
    <row r="80" spans="8:8">
      <c r="H80" s="65"/>
    </row>
    <row r="81" spans="8:8">
      <c r="H81" s="65"/>
    </row>
    <row r="82" spans="8:8">
      <c r="H82" s="65"/>
    </row>
    <row r="83" spans="8:8">
      <c r="H83" s="65"/>
    </row>
    <row r="84" spans="8:8">
      <c r="H84" s="8"/>
    </row>
    <row r="85" spans="8:8">
      <c r="H85" s="65"/>
    </row>
    <row r="86" spans="8:8">
      <c r="H86" s="65"/>
    </row>
    <row r="87" spans="8:8">
      <c r="H87" s="65" t="s">
        <v>48</v>
      </c>
    </row>
    <row r="88" spans="8:8">
      <c r="H88" s="8"/>
    </row>
    <row r="89" spans="8:8">
      <c r="H89" s="39"/>
    </row>
    <row r="90" spans="8:8">
      <c r="H90" s="65"/>
    </row>
  </sheetData>
  <dataValidations count="4">
    <dataValidation type="list" allowBlank="1" showInputMessage="1" showErrorMessage="1" sqref="N6:N13" xr:uid="{00000000-0002-0000-0800-000000000000}">
      <formula1>"CB,CD,LB,LD"</formula1>
    </dataValidation>
    <dataValidation type="list" allowBlank="1" showInputMessage="1" showErrorMessage="1" sqref="W6:W13 E6:G13 I6:M13 H6:H90" xr:uid="{00000000-0002-0000-0800-000001000000}">
      <formula1>"○"</formula1>
    </dataValidation>
    <dataValidation type="list" allowBlank="1" showInputMessage="1" showErrorMessage="1" sqref="O6:O13" xr:uid="{00000000-0002-0000-0800-000002000000}">
      <formula1>"@ManyToOne,@OneToOne"</formula1>
    </dataValidation>
    <dataValidation type="list" allowBlank="1" showInputMessage="1" showErrorMessage="1" sqref="P6:P13" xr:uid="{00000000-0002-0000-0800-000003000000}">
      <formula1>"unidirectional,bidirectional"</formula1>
    </dataValidation>
  </dataValidations>
  <pageMargins left="0.7" right="0.7" top="0.75" bottom="0.75" header="0.3" footer="0.3"/>
  <pageSetup paperSize="9" scale="41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workbookViewId="0">
      <selection activeCell="C25" sqref="C25"/>
    </sheetView>
  </sheetViews>
  <sheetFormatPr baseColWidth="10" defaultRowHeight="15"/>
  <cols>
    <col min="1" max="1" width="39.1640625" bestFit="1" customWidth="1"/>
    <col min="2" max="2" width="31" bestFit="1" customWidth="1"/>
    <col min="3" max="4" width="31" customWidth="1"/>
    <col min="5" max="5" width="26.33203125" bestFit="1" customWidth="1"/>
  </cols>
  <sheetData>
    <row r="1" spans="1:5">
      <c r="A1" s="7" t="s">
        <v>534</v>
      </c>
    </row>
    <row r="2" spans="1:5" ht="16" customHeight="1">
      <c r="B2" s="71" t="s">
        <v>1</v>
      </c>
      <c r="C2" s="71" t="s">
        <v>2</v>
      </c>
      <c r="D2" s="71" t="s">
        <v>3</v>
      </c>
      <c r="E2" s="71" t="s">
        <v>4</v>
      </c>
    </row>
    <row r="3" spans="1:5">
      <c r="B3" s="32" t="str">
        <f>IF('General Settings'!$G$11=0,"",'General Settings'!$G$11)</f>
        <v>en</v>
      </c>
      <c r="C3" s="32" t="str">
        <f>IF('General Settings'!$G$12=0,"",'General Settings'!$G$12)</f>
        <v>ja</v>
      </c>
      <c r="D3" s="32" t="str">
        <f>IF('General Settings'!$G$13=0,"",'General Settings'!$G$13)</f>
        <v/>
      </c>
      <c r="E3" s="32" t="str">
        <f>IF('General Settings'!$G$14=0,"",'General Settings'!$G$14)</f>
        <v/>
      </c>
    </row>
    <row r="5" spans="1:5">
      <c r="A5" s="110" t="s">
        <v>5</v>
      </c>
      <c r="B5" s="111" t="s">
        <v>535</v>
      </c>
      <c r="C5" s="112" t="s">
        <v>536</v>
      </c>
      <c r="D5" s="112" t="s">
        <v>537</v>
      </c>
      <c r="E5" s="112" t="s">
        <v>538</v>
      </c>
    </row>
    <row r="6" spans="1:5">
      <c r="A6" s="113" t="str" cm="1">
        <f t="array" ref="A6:A17">_xlfn.UNIQUE(_xlfn._xlws.FILTER(Table7[Table Name], Table7[Table Name]&lt;&gt;""))</f>
        <v>ACC</v>
      </c>
      <c r="B6" s="114" t="s">
        <v>542</v>
      </c>
      <c r="C6" s="114" t="s">
        <v>554</v>
      </c>
      <c r="D6" s="114"/>
      <c r="E6" s="115"/>
    </row>
    <row r="7" spans="1:5">
      <c r="A7" s="116" t="str">
        <v>ACC_ADMIN</v>
      </c>
      <c r="B7" s="117" t="s">
        <v>543</v>
      </c>
      <c r="C7" s="117" t="s">
        <v>555</v>
      </c>
      <c r="D7" s="117"/>
      <c r="E7" s="118"/>
    </row>
    <row r="8" spans="1:5">
      <c r="A8" s="113" t="str">
        <v>ACC_GENERAL</v>
      </c>
      <c r="B8" s="114" t="s">
        <v>544</v>
      </c>
      <c r="C8" s="114" t="s">
        <v>556</v>
      </c>
      <c r="D8" s="114"/>
      <c r="E8" s="115"/>
    </row>
    <row r="9" spans="1:5">
      <c r="A9" s="116" t="str">
        <v>AGREEMENT</v>
      </c>
      <c r="B9" s="117" t="s">
        <v>545</v>
      </c>
      <c r="C9" s="117" t="s">
        <v>557</v>
      </c>
      <c r="D9" s="117"/>
      <c r="E9" s="118"/>
    </row>
    <row r="10" spans="1:5">
      <c r="A10" s="113" t="str">
        <v>ACC_AGREEMENT</v>
      </c>
      <c r="B10" s="114" t="s">
        <v>546</v>
      </c>
      <c r="C10" s="114" t="s">
        <v>558</v>
      </c>
      <c r="D10" s="114"/>
      <c r="E10" s="115"/>
    </row>
    <row r="11" spans="1:5">
      <c r="A11" s="116" t="str">
        <v>MAIL_AUTH_MANAGEMENT</v>
      </c>
      <c r="B11" s="117" t="s">
        <v>547</v>
      </c>
      <c r="C11" s="117" t="s">
        <v>559</v>
      </c>
      <c r="D11" s="117"/>
      <c r="E11" s="118"/>
    </row>
    <row r="12" spans="1:5">
      <c r="A12" s="113" t="str">
        <v>QIITA_USER</v>
      </c>
      <c r="B12" s="114" t="s">
        <v>548</v>
      </c>
      <c r="C12" s="114" t="s">
        <v>548</v>
      </c>
      <c r="D12" s="114"/>
      <c r="E12" s="115"/>
    </row>
    <row r="13" spans="1:5">
      <c r="A13" s="116" t="str">
        <v>QIITA_GROUP</v>
      </c>
      <c r="B13" s="117" t="s">
        <v>549</v>
      </c>
      <c r="C13" s="117" t="s">
        <v>549</v>
      </c>
      <c r="D13" s="117"/>
      <c r="E13" s="118"/>
    </row>
    <row r="14" spans="1:5">
      <c r="A14" s="113" t="str">
        <v>QIITA_ITEM</v>
      </c>
      <c r="B14" s="114" t="s">
        <v>550</v>
      </c>
      <c r="C14" s="114" t="s">
        <v>550</v>
      </c>
      <c r="D14" s="114"/>
      <c r="E14" s="115"/>
    </row>
    <row r="15" spans="1:5">
      <c r="A15" s="116" t="str">
        <v>QIITA_TAG</v>
      </c>
      <c r="B15" s="117" t="s">
        <v>551</v>
      </c>
      <c r="C15" s="117" t="s">
        <v>551</v>
      </c>
      <c r="D15" s="117"/>
      <c r="E15" s="118"/>
    </row>
    <row r="16" spans="1:5">
      <c r="A16" s="113" t="str">
        <v>QIITA_ITEM_TAG</v>
      </c>
      <c r="B16" s="114" t="s">
        <v>552</v>
      </c>
      <c r="C16" s="114" t="s">
        <v>552</v>
      </c>
      <c r="D16" s="114"/>
      <c r="E16" s="115"/>
    </row>
    <row r="17" spans="1:5">
      <c r="A17" s="116" t="str">
        <v>QIITA_ITEM_TAG_VERSION</v>
      </c>
      <c r="B17" s="117" t="s">
        <v>553</v>
      </c>
      <c r="C17" s="117" t="s">
        <v>553</v>
      </c>
      <c r="D17" s="117"/>
      <c r="E17" s="118"/>
    </row>
    <row r="18" spans="1:5">
      <c r="A18" s="113"/>
      <c r="B18" s="114"/>
      <c r="C18" s="114"/>
      <c r="D18" s="114"/>
      <c r="E18" s="115"/>
    </row>
    <row r="19" spans="1:5">
      <c r="A19" s="116"/>
      <c r="B19" s="117"/>
      <c r="C19" s="117"/>
      <c r="D19" s="117"/>
      <c r="E19" s="118"/>
    </row>
    <row r="20" spans="1:5">
      <c r="A20" s="113"/>
      <c r="B20" s="114"/>
      <c r="C20" s="114"/>
      <c r="D20" s="114"/>
      <c r="E20" s="115"/>
    </row>
    <row r="21" spans="1:5">
      <c r="A21" s="116"/>
      <c r="B21" s="117"/>
      <c r="C21" s="117"/>
      <c r="D21" s="117"/>
      <c r="E21" s="118"/>
    </row>
    <row r="22" spans="1:5">
      <c r="A22" s="113"/>
      <c r="B22" s="114"/>
      <c r="C22" s="114"/>
      <c r="D22" s="114"/>
      <c r="E22" s="115"/>
    </row>
    <row r="23" spans="1:5">
      <c r="A23" s="116"/>
      <c r="B23" s="117"/>
      <c r="C23" s="117"/>
      <c r="D23" s="117"/>
      <c r="E23" s="118"/>
    </row>
    <row r="24" spans="1:5">
      <c r="A24" s="113"/>
      <c r="B24" s="114"/>
      <c r="C24" s="114"/>
      <c r="D24" s="114"/>
      <c r="E24" s="115"/>
    </row>
    <row r="25" spans="1:5">
      <c r="A25" s="116"/>
      <c r="B25" s="117"/>
      <c r="C25" s="117"/>
      <c r="D25" s="117"/>
      <c r="E25" s="118"/>
    </row>
    <row r="26" spans="1:5">
      <c r="A26" s="113"/>
      <c r="B26" s="114"/>
      <c r="C26" s="114"/>
      <c r="D26" s="114"/>
      <c r="E26" s="115"/>
    </row>
    <row r="27" spans="1:5">
      <c r="A27" s="116"/>
      <c r="B27" s="117"/>
      <c r="C27" s="117"/>
      <c r="D27" s="117"/>
      <c r="E27" s="118"/>
    </row>
    <row r="28" spans="1:5">
      <c r="A28" s="119"/>
      <c r="B28" s="108"/>
      <c r="C28" s="108"/>
      <c r="D28" s="108"/>
      <c r="E28" s="1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dataType Dropdown Items</vt:lpstr>
      <vt:lpstr>dataType Data Pattern List</vt:lpstr>
      <vt:lpstr>FK Types</vt:lpstr>
      <vt:lpstr>Format Change History</vt:lpstr>
      <vt:lpstr>General Settings</vt:lpstr>
      <vt:lpstr>dataType Definition</vt:lpstr>
      <vt:lpstr>Enum Definition</vt:lpstr>
      <vt:lpstr>DB Item Definition</vt:lpstr>
      <vt:lpstr>DB Common Item Definition</vt:lpstr>
      <vt:lpstr>Table List</vt:lpstr>
      <vt:lpstr>general</vt:lpstr>
      <vt:lpstr>'DB Item Definition'!Print_Area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田中庸介</cp:lastModifiedBy>
  <dcterms:created xsi:type="dcterms:W3CDTF">2006-09-16T00:00:00Z</dcterms:created>
  <dcterms:modified xsi:type="dcterms:W3CDTF">2026-10-04T03:53:34Z</dcterms:modified>
</cp:coreProperties>
</file>